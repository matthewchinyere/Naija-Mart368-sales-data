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7387CEBC-9FB8-4013-A627-5A0FB5629FD2}" xr6:coauthVersionLast="47" xr6:coauthVersionMax="47" xr10:uidLastSave="{00000000-0000-0000-0000-000000000000}"/>
  <bookViews>
    <workbookView xWindow="-110" yWindow="-110" windowWidth="19420" windowHeight="10300" activeTab="1" xr2:uid="{00000000-000D-0000-FFFF-FFFF00000000}"/>
  </bookViews>
  <sheets>
    <sheet name="Pivot Table" sheetId="2" r:id="rId1"/>
    <sheet name="Dashboard" sheetId="3" r:id="rId2"/>
    <sheet name="Sales Data" sheetId="1" r:id="rId3"/>
  </sheets>
  <definedNames>
    <definedName name="NativeTimeline_Order_Date">#N/A</definedName>
    <definedName name="Slicer_Category">#N/A</definedName>
    <definedName name="Slicer_Payment_Method">#N/A</definedName>
    <definedName name="Slicer_Region">#N/A</definedName>
    <definedName name="Slicer_Sales_Channel">#N/A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4" i="1" l="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alcChain>
</file>

<file path=xl/sharedStrings.xml><?xml version="1.0" encoding="utf-8"?>
<sst xmlns="http://schemas.openxmlformats.org/spreadsheetml/2006/main" count="1922" uniqueCount="366">
  <si>
    <t>Order_ID</t>
  </si>
  <si>
    <t>Customer_ID</t>
  </si>
  <si>
    <t>Customer_Name</t>
  </si>
  <si>
    <t>Product_Name</t>
  </si>
  <si>
    <t>Category</t>
  </si>
  <si>
    <t>Quantity</t>
  </si>
  <si>
    <t>Unit_Price_NGN</t>
  </si>
  <si>
    <t>Discount_Percent</t>
  </si>
  <si>
    <t>Discount_Amount_NGN</t>
  </si>
  <si>
    <t>Total_Sales_NGN</t>
  </si>
  <si>
    <t>Total_Cost_NGN</t>
  </si>
  <si>
    <t>Profit_NGN</t>
  </si>
  <si>
    <t>Order_Date</t>
  </si>
  <si>
    <t>Ship_Date</t>
  </si>
  <si>
    <t>Region</t>
  </si>
  <si>
    <t>Customer_Segment</t>
  </si>
  <si>
    <t>Sales_Channel</t>
  </si>
  <si>
    <t>Payment_Method</t>
  </si>
  <si>
    <t>Sales_Rep</t>
  </si>
  <si>
    <t>CUST-2562</t>
  </si>
  <si>
    <t>CUST-8702</t>
  </si>
  <si>
    <t>CUST-8167</t>
  </si>
  <si>
    <t>CUST-7521</t>
  </si>
  <si>
    <t>CUST-6733</t>
  </si>
  <si>
    <t>CUST-3240</t>
  </si>
  <si>
    <t>CUST-1611</t>
  </si>
  <si>
    <t>CUST-5941</t>
  </si>
  <si>
    <t>CUST-8498</t>
  </si>
  <si>
    <t>CUST-2786</t>
  </si>
  <si>
    <t>CUST-5333</t>
  </si>
  <si>
    <t>CUST-5658</t>
  </si>
  <si>
    <t>CUST-5952</t>
  </si>
  <si>
    <t>CUST-5634</t>
  </si>
  <si>
    <t>CUST-1724</t>
  </si>
  <si>
    <t>CUST-5176</t>
  </si>
  <si>
    <t>CUST-4946</t>
  </si>
  <si>
    <t>CUST-1400</t>
  </si>
  <si>
    <t>CUST-7580</t>
  </si>
  <si>
    <t>CUST-1964</t>
  </si>
  <si>
    <t>CUST-8404</t>
  </si>
  <si>
    <t>CUST-8740</t>
  </si>
  <si>
    <t>CUST-6531</t>
  </si>
  <si>
    <t>CUST-1441</t>
  </si>
  <si>
    <t>CUST-6321</t>
  </si>
  <si>
    <t>CUST-1653</t>
  </si>
  <si>
    <t>CUST-5520</t>
  </si>
  <si>
    <t>CUST-5325</t>
  </si>
  <si>
    <t>CUST-7171</t>
  </si>
  <si>
    <t>CUST-8744</t>
  </si>
  <si>
    <t>CUST-1742</t>
  </si>
  <si>
    <t>CUST-6180</t>
  </si>
  <si>
    <t>CUST-4846</t>
  </si>
  <si>
    <t>CUST-7868</t>
  </si>
  <si>
    <t>CUST-8055</t>
  </si>
  <si>
    <t>CUST-2824</t>
  </si>
  <si>
    <t>CUST-1887</t>
  </si>
  <si>
    <t>CUST-9824</t>
  </si>
  <si>
    <t>CUST-3266</t>
  </si>
  <si>
    <t>CUST-5542</t>
  </si>
  <si>
    <t>CUST-6455</t>
  </si>
  <si>
    <t>CUST-6764</t>
  </si>
  <si>
    <t>CUST-8873</t>
  </si>
  <si>
    <t>CUST-2215</t>
  </si>
  <si>
    <t>CUST-1590</t>
  </si>
  <si>
    <t>CUST-1897</t>
  </si>
  <si>
    <t>CUST-8213</t>
  </si>
  <si>
    <t>CUST-5835</t>
  </si>
  <si>
    <t>CUST-5477</t>
  </si>
  <si>
    <t>CUST-7267</t>
  </si>
  <si>
    <t>CUST-4509</t>
  </si>
  <si>
    <t>CUST-9691</t>
  </si>
  <si>
    <t>CUST-2625</t>
  </si>
  <si>
    <t>CUST-1907</t>
  </si>
  <si>
    <t>CUST-6523</t>
  </si>
  <si>
    <t>CUST-9785</t>
  </si>
  <si>
    <t>CUST-7179</t>
  </si>
  <si>
    <t>CUST-4582</t>
  </si>
  <si>
    <t>CUST-1981</t>
  </si>
  <si>
    <t>CUST-3063</t>
  </si>
  <si>
    <t>CUST-1410</t>
  </si>
  <si>
    <t>CUST-6253</t>
  </si>
  <si>
    <t>CUST-6095</t>
  </si>
  <si>
    <t>CUST-9584</t>
  </si>
  <si>
    <t>CUST-1803</t>
  </si>
  <si>
    <t>CUST-4891</t>
  </si>
  <si>
    <t>CUST-4176</t>
  </si>
  <si>
    <t>CUST-3142</t>
  </si>
  <si>
    <t>CUST-5719</t>
  </si>
  <si>
    <t>CUST-1919</t>
  </si>
  <si>
    <t>CUST-5374</t>
  </si>
  <si>
    <t>CUST-6626</t>
  </si>
  <si>
    <t>CUST-9998</t>
  </si>
  <si>
    <t>CUST-9920</t>
  </si>
  <si>
    <t>CUST-1829</t>
  </si>
  <si>
    <t>CUST-4241</t>
  </si>
  <si>
    <t>CUST-1916</t>
  </si>
  <si>
    <t>CUST-8205</t>
  </si>
  <si>
    <t>CUST-1659</t>
  </si>
  <si>
    <t>CUST-5331</t>
  </si>
  <si>
    <t>CUST-6363</t>
  </si>
  <si>
    <t>CUST-5888</t>
  </si>
  <si>
    <t>CUST-9011</t>
  </si>
  <si>
    <t>CUST-8381</t>
  </si>
  <si>
    <t>CUST-1269</t>
  </si>
  <si>
    <t>CUST-9984</t>
  </si>
  <si>
    <t>CUST-4012</t>
  </si>
  <si>
    <t>CUST-1320</t>
  </si>
  <si>
    <t>CUST-4697</t>
  </si>
  <si>
    <t>CUST-2213</t>
  </si>
  <si>
    <t>CUST-6269</t>
  </si>
  <si>
    <t>CUST-8793</t>
  </si>
  <si>
    <t>CUST-3646</t>
  </si>
  <si>
    <t>CUST-7690</t>
  </si>
  <si>
    <t>CUST-9700</t>
  </si>
  <si>
    <t>CUST-9261</t>
  </si>
  <si>
    <t>CUST-9683</t>
  </si>
  <si>
    <t>CUST-3780</t>
  </si>
  <si>
    <t>CUST-9479</t>
  </si>
  <si>
    <t>CUST-3615</t>
  </si>
  <si>
    <t>CUST-4522</t>
  </si>
  <si>
    <t>CUST-6325</t>
  </si>
  <si>
    <t>CUST-3399</t>
  </si>
  <si>
    <t>CUST-8622</t>
  </si>
  <si>
    <t>CUST-3463</t>
  </si>
  <si>
    <t>CUST-7981</t>
  </si>
  <si>
    <t>CUST-7302</t>
  </si>
  <si>
    <t>CUST-7070</t>
  </si>
  <si>
    <t>CUST-7807</t>
  </si>
  <si>
    <t>CUST-7272</t>
  </si>
  <si>
    <t>CUST-4630</t>
  </si>
  <si>
    <t>CUST-7464</t>
  </si>
  <si>
    <t>CUST-7698</t>
  </si>
  <si>
    <t>CUST-8871</t>
  </si>
  <si>
    <t>CUST-4733</t>
  </si>
  <si>
    <t>CUST-7512</t>
  </si>
  <si>
    <t>CUST-6442</t>
  </si>
  <si>
    <t>CUST-7730</t>
  </si>
  <si>
    <t>CUST-6139</t>
  </si>
  <si>
    <t>CUST-6000</t>
  </si>
  <si>
    <t>CUST-4872</t>
  </si>
  <si>
    <t>CUST-8451</t>
  </si>
  <si>
    <t>CUST-4044</t>
  </si>
  <si>
    <t>CUST-8225</t>
  </si>
  <si>
    <t>CUST-9850</t>
  </si>
  <si>
    <t>CUST-5720</t>
  </si>
  <si>
    <t>CUST-4997</t>
  </si>
  <si>
    <t>CUST-1307</t>
  </si>
  <si>
    <t>CUST-6590</t>
  </si>
  <si>
    <t>CUST-6718</t>
  </si>
  <si>
    <t>CUST-4006</t>
  </si>
  <si>
    <t>CUST-3579</t>
  </si>
  <si>
    <t>CUST-6654</t>
  </si>
  <si>
    <t>CUST-4505</t>
  </si>
  <si>
    <t>CUST-9883</t>
  </si>
  <si>
    <t>CUST-3126</t>
  </si>
  <si>
    <t>CUST-1496</t>
  </si>
  <si>
    <t>CUST-9548</t>
  </si>
  <si>
    <t>CUST-9525</t>
  </si>
  <si>
    <t>CUST-4673</t>
  </si>
  <si>
    <t>CUST-3610</t>
  </si>
  <si>
    <t>CUST-2858</t>
  </si>
  <si>
    <t>CUST-8123</t>
  </si>
  <si>
    <t>CUST-6927</t>
  </si>
  <si>
    <t>CUST-8483</t>
  </si>
  <si>
    <t>CUST-6456</t>
  </si>
  <si>
    <t>CUST-4397</t>
  </si>
  <si>
    <t>CUST-9120</t>
  </si>
  <si>
    <t>CUST-1258</t>
  </si>
  <si>
    <t>CUST-4068</t>
  </si>
  <si>
    <t>CUST-8218</t>
  </si>
  <si>
    <t>CUST-6697</t>
  </si>
  <si>
    <t>CUST-5902</t>
  </si>
  <si>
    <t>CUST-8517</t>
  </si>
  <si>
    <t>CUST-2269</t>
  </si>
  <si>
    <t>CUST-5342</t>
  </si>
  <si>
    <t>CUST-8292</t>
  </si>
  <si>
    <t>CUST-2697</t>
  </si>
  <si>
    <t>CUST-7105</t>
  </si>
  <si>
    <t>CUST-7022</t>
  </si>
  <si>
    <t>CUST-2988</t>
  </si>
  <si>
    <t>CUST-2419</t>
  </si>
  <si>
    <t>CUST-1842</t>
  </si>
  <si>
    <t>CUST-2234</t>
  </si>
  <si>
    <t>CUST-9318</t>
  </si>
  <si>
    <t>CUST-8933</t>
  </si>
  <si>
    <t>CUST-6427</t>
  </si>
  <si>
    <t>CUST-1672</t>
  </si>
  <si>
    <t>CUST-6555</t>
  </si>
  <si>
    <t>CUST-1006</t>
  </si>
  <si>
    <t>CUST-4216</t>
  </si>
  <si>
    <t>CUST-5088</t>
  </si>
  <si>
    <t>CUST-9821</t>
  </si>
  <si>
    <t>CUST-4073</t>
  </si>
  <si>
    <t>CUST-3607</t>
  </si>
  <si>
    <t>CUST-6447</t>
  </si>
  <si>
    <t>CUST-2337</t>
  </si>
  <si>
    <t>CUST-4131</t>
  </si>
  <si>
    <t>CUST-6781</t>
  </si>
  <si>
    <t>CUST-8454</t>
  </si>
  <si>
    <t>CUST-1187</t>
  </si>
  <si>
    <t>CUST-7592</t>
  </si>
  <si>
    <t>CUST-5471</t>
  </si>
  <si>
    <t>CUST-7806</t>
  </si>
  <si>
    <t>CUST-2771</t>
  </si>
  <si>
    <t>CUST-9394</t>
  </si>
  <si>
    <t>CUST-9406</t>
  </si>
  <si>
    <t>CUST-8668</t>
  </si>
  <si>
    <t>CUST-2402</t>
  </si>
  <si>
    <t>CUST-3147</t>
  </si>
  <si>
    <t>CUST-5264</t>
  </si>
  <si>
    <t>CUST-8204</t>
  </si>
  <si>
    <t>CUST-4570</t>
  </si>
  <si>
    <t>CUST-5728</t>
  </si>
  <si>
    <t>CUST-8758</t>
  </si>
  <si>
    <t>CUST-3143</t>
  </si>
  <si>
    <t>Mercy Chukwu</t>
  </si>
  <si>
    <t>Idris Okoro</t>
  </si>
  <si>
    <t>Aisha Ibrahim</t>
  </si>
  <si>
    <t>Patience Akpan</t>
  </si>
  <si>
    <t>Funke Alabi</t>
  </si>
  <si>
    <t>Tope Balogun</t>
  </si>
  <si>
    <t>Hauwa Bello</t>
  </si>
  <si>
    <t>Peter Obi</t>
  </si>
  <si>
    <t>Emeka Nwosu</t>
  </si>
  <si>
    <t>Chibuzor Madu</t>
  </si>
  <si>
    <t>Yusuf Bello</t>
  </si>
  <si>
    <t>Ebuka Onu</t>
  </si>
  <si>
    <t>Chioma Nnaji</t>
  </si>
  <si>
    <t>David Etim</t>
  </si>
  <si>
    <t>Bukola Saraki</t>
  </si>
  <si>
    <t>Abdulrahman Lawal</t>
  </si>
  <si>
    <t>Obinna Umeh</t>
  </si>
  <si>
    <t>Halima Gambo</t>
  </si>
  <si>
    <t>Ahmed Suleiman</t>
  </si>
  <si>
    <t>Michael Ojo</t>
  </si>
  <si>
    <t>Amaka Uzochukwu</t>
  </si>
  <si>
    <t>Blessing Okonkwo</t>
  </si>
  <si>
    <t>Kemi Ogunleye</t>
  </si>
  <si>
    <t>Fatima Mohammed</t>
  </si>
  <si>
    <t>Tunde Adebayo</t>
  </si>
  <si>
    <t>Kunle Afolayan</t>
  </si>
  <si>
    <t>Chidera Nwankwo</t>
  </si>
  <si>
    <t>Ibrahim Musa</t>
  </si>
  <si>
    <t>Chinedu Okoro</t>
  </si>
  <si>
    <t>Jennifer Okeke</t>
  </si>
  <si>
    <t>Maryam Aliyu</t>
  </si>
  <si>
    <t>Nkechi Anozie</t>
  </si>
  <si>
    <t>Uche Okafor</t>
  </si>
  <si>
    <t>Bola Tinubu</t>
  </si>
  <si>
    <t>Collins Eze</t>
  </si>
  <si>
    <t>Segun Olayinka</t>
  </si>
  <si>
    <t>Daniel Okafor</t>
  </si>
  <si>
    <t>Oluwaseun Akinyemi</t>
  </si>
  <si>
    <t>Samuel Adewale</t>
  </si>
  <si>
    <t>Kenneth Udo</t>
  </si>
  <si>
    <t>Olumide Johnson</t>
  </si>
  <si>
    <t>Esther Onyeka</t>
  </si>
  <si>
    <t>Ifunanya Okolie</t>
  </si>
  <si>
    <t>Emmanuel Chukwu</t>
  </si>
  <si>
    <t>Nonso Anene</t>
  </si>
  <si>
    <t>Victoria Olatunji</t>
  </si>
  <si>
    <t>Sarah Okon</t>
  </si>
  <si>
    <t>Femi Adeyemi</t>
  </si>
  <si>
    <t>Sani Abdullahi</t>
  </si>
  <si>
    <t>Linda Ikeji</t>
  </si>
  <si>
    <t>Kelvin Eke</t>
  </si>
  <si>
    <t>Hadiza Umar</t>
  </si>
  <si>
    <t>Ruth Bassey</t>
  </si>
  <si>
    <t>Joy Uche</t>
  </si>
  <si>
    <t>Zainab Yusuf</t>
  </si>
  <si>
    <t>Chiamaka Ibe</t>
  </si>
  <si>
    <t>Chukwuemeka Obi</t>
  </si>
  <si>
    <t>Grace John</t>
  </si>
  <si>
    <t>Cynthia Nwosu</t>
  </si>
  <si>
    <t>HP LaserJet Printer</t>
  </si>
  <si>
    <t>iPhone 15 Pro</t>
  </si>
  <si>
    <t>Samsung 65" QLED TV</t>
  </si>
  <si>
    <t>Refrigerator 250L</t>
  </si>
  <si>
    <t>Mechanical Keyboard</t>
  </si>
  <si>
    <t>Office Chair Ergonomic</t>
  </si>
  <si>
    <t>USB-C Hub</t>
  </si>
  <si>
    <t>Women's Handbag Leather</t>
  </si>
  <si>
    <t>Sofa Set 3-Seater</t>
  </si>
  <si>
    <t>Wrist Watch Casio</t>
  </si>
  <si>
    <t>Laptop Dell XPS 13</t>
  </si>
  <si>
    <t>Dining Table Set</t>
  </si>
  <si>
    <t>Backpack Laptop</t>
  </si>
  <si>
    <t>Men's Formal Shoes</t>
  </si>
  <si>
    <t>Standing Desk</t>
  </si>
  <si>
    <t>Wireless Mouse Logitech</t>
  </si>
  <si>
    <t>Blender Philips</t>
  </si>
  <si>
    <t>Microwave Oven</t>
  </si>
  <si>
    <t>AirPods Pro</t>
  </si>
  <si>
    <t>Electric Kettle</t>
  </si>
  <si>
    <t>Electronics</t>
  </si>
  <si>
    <t>Appliances</t>
  </si>
  <si>
    <t>Accessories</t>
  </si>
  <si>
    <t>Furniture</t>
  </si>
  <si>
    <t>Fashion</t>
  </si>
  <si>
    <t>Kano</t>
  </si>
  <si>
    <t>Kaduna</t>
  </si>
  <si>
    <t>Lagos</t>
  </si>
  <si>
    <t>Abuja</t>
  </si>
  <si>
    <t>Port Harcourt</t>
  </si>
  <si>
    <t>Ibadan</t>
  </si>
  <si>
    <t>Enugu</t>
  </si>
  <si>
    <t>SME</t>
  </si>
  <si>
    <t>Individual</t>
  </si>
  <si>
    <t>Corporate</t>
  </si>
  <si>
    <t>Government</t>
  </si>
  <si>
    <t>Jumia</t>
  </si>
  <si>
    <t>WhatsApp</t>
  </si>
  <si>
    <t>Jiji</t>
  </si>
  <si>
    <t>Online</t>
  </si>
  <si>
    <t>In-Store</t>
  </si>
  <si>
    <t>Credit Card</t>
  </si>
  <si>
    <t>Bank Transfer</t>
  </si>
  <si>
    <t>Cash on Delivery</t>
  </si>
  <si>
    <t>POS</t>
  </si>
  <si>
    <t>Paystack</t>
  </si>
  <si>
    <t>Ahmed Bello</t>
  </si>
  <si>
    <t>Chinyere Okafor</t>
  </si>
  <si>
    <t>Tolu James</t>
  </si>
  <si>
    <t>Emeka Udo</t>
  </si>
  <si>
    <t>Ngozi Okon</t>
  </si>
  <si>
    <t>Column1</t>
  </si>
  <si>
    <t>Supporting  PivotTable</t>
  </si>
  <si>
    <t>Dashboard Elements</t>
  </si>
  <si>
    <t>Total Revenue</t>
  </si>
  <si>
    <t>Total Order</t>
  </si>
  <si>
    <t>Average Order Value</t>
  </si>
  <si>
    <t>Monthly Sales and Profti</t>
  </si>
  <si>
    <t xml:space="preserve">Sales By category </t>
  </si>
  <si>
    <t>Top 5 Products</t>
  </si>
  <si>
    <t>Channel/Region Performance</t>
  </si>
  <si>
    <t>Column2</t>
  </si>
  <si>
    <t>Column3</t>
  </si>
  <si>
    <t>Column4</t>
  </si>
  <si>
    <t>Top 10 Customers By Sales/ Profit Margin</t>
  </si>
  <si>
    <t xml:space="preserve"> Profit Trend</t>
  </si>
  <si>
    <t>Count of Order_ID</t>
  </si>
  <si>
    <t>Total Quantity</t>
  </si>
  <si>
    <t>Total Profit</t>
  </si>
  <si>
    <t>Sum of Profit_NGN</t>
  </si>
  <si>
    <t>Day</t>
  </si>
  <si>
    <t>Month</t>
  </si>
  <si>
    <t>Year</t>
  </si>
  <si>
    <t>Sum of Total_Sales_NGN</t>
  </si>
  <si>
    <t>Average of Total_Sales_NGN</t>
  </si>
  <si>
    <t>Sum of Total_Revenue_NGN</t>
  </si>
  <si>
    <t>Row Labels</t>
  </si>
  <si>
    <t>Jan</t>
  </si>
  <si>
    <t>Feb</t>
  </si>
  <si>
    <t>Mar</t>
  </si>
  <si>
    <t>Apr</t>
  </si>
  <si>
    <t>Nov</t>
  </si>
  <si>
    <t>Dec</t>
  </si>
  <si>
    <t>Grand Total</t>
  </si>
  <si>
    <t>Total Ordder</t>
  </si>
  <si>
    <t>Monthly Sales By Profit</t>
  </si>
  <si>
    <t>Sales By Category</t>
  </si>
  <si>
    <t>Sales By Region</t>
  </si>
  <si>
    <t>Channel Performance</t>
  </si>
  <si>
    <t>Payment Method</t>
  </si>
  <si>
    <t>Region Performance</t>
  </si>
  <si>
    <t>Customer Semgmentation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</si>
</sst>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470]#,##0.00"/>
    <numFmt numFmtId="166" formatCode="[&gt;=1000000]\ \₦\ #,##0.00,,\ &quot;M&quot;;[&gt;=100]\ \₦\ #.00,\ &quot;K&quot;;\ \₦###.00"/>
  </numFmts>
  <fonts count="8" x14ac:knownFonts="1">
    <font>
      <sz val="11"/>
      <color theme="1"/>
      <name val="Calibri"/>
      <family val="2"/>
      <scheme val="minor"/>
    </font>
    <font>
      <b/>
      <sz val="11"/>
      <color theme="1"/>
      <name val="Calibri"/>
      <family val="2"/>
      <scheme val="minor"/>
    </font>
    <font>
      <b/>
      <sz val="22"/>
      <color theme="3"/>
      <name val="Calibri"/>
      <family val="2"/>
      <scheme val="minor"/>
    </font>
    <font>
      <b/>
      <sz val="12"/>
      <color theme="1"/>
      <name val="Calibri"/>
      <family val="2"/>
      <scheme val="minor"/>
    </font>
    <font>
      <b/>
      <sz val="12"/>
      <color theme="3"/>
      <name val="Calibri"/>
      <family val="2"/>
      <scheme val="minor"/>
    </font>
    <font>
      <sz val="11"/>
      <color theme="1"/>
      <name val="Calibri"/>
      <family val="2"/>
      <scheme val="minor"/>
    </font>
    <font>
      <b/>
      <sz val="12"/>
      <color theme="4"/>
      <name val="Calibri"/>
      <family val="2"/>
      <scheme val="minor"/>
    </font>
    <font>
      <b/>
      <sz val="14"/>
      <color theme="4"/>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5"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left"/>
    </xf>
    <xf numFmtId="1" fontId="0" fillId="0" borderId="0" xfId="0" applyNumberFormat="1"/>
    <xf numFmtId="164" fontId="0" fillId="0" borderId="0" xfId="0" applyNumberFormat="1"/>
    <xf numFmtId="0" fontId="2" fillId="0" borderId="0" xfId="0" applyFont="1"/>
    <xf numFmtId="0" fontId="3" fillId="0" borderId="0" xfId="0" applyFont="1"/>
    <xf numFmtId="0" fontId="4" fillId="0" borderId="0" xfId="0" applyFont="1"/>
    <xf numFmtId="165" fontId="0" fillId="0" borderId="0" xfId="0" applyNumberFormat="1"/>
    <xf numFmtId="0" fontId="0" fillId="0" borderId="0" xfId="0" pivotButton="1"/>
    <xf numFmtId="9" fontId="0" fillId="0" borderId="0" xfId="1" applyFont="1"/>
    <xf numFmtId="0" fontId="1" fillId="0" borderId="2" xfId="0" applyFont="1" applyBorder="1" applyAlignment="1">
      <alignment horizontal="center" vertical="top"/>
    </xf>
    <xf numFmtId="0" fontId="0" fillId="2" borderId="0" xfId="0" applyFill="1"/>
    <xf numFmtId="166" fontId="0" fillId="0" borderId="0" xfId="0" applyNumberFormat="1"/>
    <xf numFmtId="0" fontId="6" fillId="0" borderId="0" xfId="0" applyFont="1"/>
    <xf numFmtId="0" fontId="7" fillId="0" borderId="0" xfId="0" applyFont="1"/>
  </cellXfs>
  <cellStyles count="2">
    <cellStyle name="Normal" xfId="0" builtinId="0"/>
    <cellStyle name="Percent" xfId="1" builtinId="5"/>
  </cellStyles>
  <dxfs count="29">
    <dxf>
      <numFmt numFmtId="0" formatCode="General"/>
    </dxf>
    <dxf>
      <numFmt numFmtId="0" formatCode="General"/>
    </dxf>
    <dxf>
      <numFmt numFmtId="0" formatCode="General"/>
    </dxf>
    <dxf>
      <alignment horizontal="left" vertical="bottom" textRotation="0" wrapText="0" indent="0" justifyLastLine="0" shrinkToFit="0" readingOrder="0"/>
    </dxf>
    <dxf>
      <numFmt numFmtId="164" formatCode="yyyy\-mm\-dd;@"/>
    </dxf>
    <dxf>
      <numFmt numFmtId="164" formatCode="yyyy\-mm\-dd;@"/>
    </dxf>
    <dxf>
      <numFmt numFmtId="165" formatCode="[$₦-470]#,##0.00"/>
    </dxf>
    <dxf>
      <numFmt numFmtId="165" formatCode="[$₦-470]#,##0.00"/>
    </dxf>
    <dxf>
      <numFmt numFmtId="165" formatCode="[$₦-470]#,##0.00"/>
    </dxf>
    <dxf>
      <numFmt numFmtId="165" formatCode="[$₦-470]#,##0.00"/>
    </dxf>
    <dxf>
      <numFmt numFmtId="13" formatCode="0%"/>
    </dxf>
    <dxf>
      <numFmt numFmtId="165" formatCode="[$₦-470]#,##0.00"/>
    </dxf>
    <dxf>
      <numFmt numFmtId="1" formatCode="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1"/>
        <name val="Calibri"/>
        <family val="2"/>
        <scheme val="minor"/>
      </font>
    </dxf>
    <dxf>
      <font>
        <b/>
        <i val="0"/>
        <strike val="0"/>
        <condense val="0"/>
        <extend val="0"/>
        <outline val="0"/>
        <shadow val="0"/>
        <u val="none"/>
        <vertAlign val="baseline"/>
        <sz val="12"/>
        <color theme="3"/>
        <name val="Calibri"/>
        <family val="2"/>
        <scheme val="minor"/>
      </font>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
      <numFmt numFmtId="166" formatCode="[&gt;=1000000]\ \₦\ #,##0.00,,\ &quot;M&quot;;[&gt;=100]\ \₦\ #.00,\ &quot;K&quot;;\ \₦###.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[NaijaMart_360_sales_data.xlsx]Pivot Table!PT_sales_trend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Monthly</a:t>
            </a:r>
            <a:r>
              <a:rPr lang="en-US" b="1" baseline="0">
                <a:solidFill>
                  <a:schemeClr val="accent1"/>
                </a:solidFill>
              </a:rPr>
              <a:t> Sales And Profit</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c:f>
              <c:strCache>
                <c:ptCount val="1"/>
                <c:pt idx="0">
                  <c:v>Sum of Total_Sales_NGN</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Table'!$A$39:$A$45</c:f>
              <c:strCache>
                <c:ptCount val="6"/>
                <c:pt idx="0">
                  <c:v>Jan</c:v>
                </c:pt>
                <c:pt idx="1">
                  <c:v>Feb</c:v>
                </c:pt>
                <c:pt idx="2">
                  <c:v>Mar</c:v>
                </c:pt>
                <c:pt idx="3">
                  <c:v>Apr</c:v>
                </c:pt>
                <c:pt idx="4">
                  <c:v>Nov</c:v>
                </c:pt>
                <c:pt idx="5">
                  <c:v>Dec</c:v>
                </c:pt>
              </c:strCache>
            </c:strRef>
          </c:cat>
          <c:val>
            <c:numRef>
              <c:f>'Pivot Table'!$B$39:$B$45</c:f>
              <c:numCache>
                <c:formatCode>[&gt;=1000000]\ \₦\ #,##0.00,,\ "M";[&gt;=100]\ \₦\ #.00,\ "K";\ \₦###.00</c:formatCode>
                <c:ptCount val="6"/>
                <c:pt idx="0">
                  <c:v>22099114</c:v>
                </c:pt>
                <c:pt idx="1">
                  <c:v>26687930</c:v>
                </c:pt>
                <c:pt idx="2">
                  <c:v>20929452</c:v>
                </c:pt>
                <c:pt idx="3">
                  <c:v>7557956</c:v>
                </c:pt>
                <c:pt idx="4">
                  <c:v>34822979</c:v>
                </c:pt>
                <c:pt idx="5">
                  <c:v>13396589</c:v>
                </c:pt>
              </c:numCache>
            </c:numRef>
          </c:val>
          <c:smooth val="0"/>
          <c:extLst>
            <c:ext xmlns:c16="http://schemas.microsoft.com/office/drawing/2014/chart" uri="{C3380CC4-5D6E-409C-BE32-E72D297353CC}">
              <c16:uniqueId val="{00000000-1C2B-4082-9AFF-8567534AC2FD}"/>
            </c:ext>
          </c:extLst>
        </c:ser>
        <c:ser>
          <c:idx val="1"/>
          <c:order val="1"/>
          <c:tx>
            <c:strRef>
              <c:f>'Pivot Table'!$C$38</c:f>
              <c:strCache>
                <c:ptCount val="1"/>
                <c:pt idx="0">
                  <c:v>Sum of Profit_NGN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Table'!$A$39:$A$45</c:f>
              <c:strCache>
                <c:ptCount val="6"/>
                <c:pt idx="0">
                  <c:v>Jan</c:v>
                </c:pt>
                <c:pt idx="1">
                  <c:v>Feb</c:v>
                </c:pt>
                <c:pt idx="2">
                  <c:v>Mar</c:v>
                </c:pt>
                <c:pt idx="3">
                  <c:v>Apr</c:v>
                </c:pt>
                <c:pt idx="4">
                  <c:v>Nov</c:v>
                </c:pt>
                <c:pt idx="5">
                  <c:v>Dec</c:v>
                </c:pt>
              </c:strCache>
            </c:strRef>
          </c:cat>
          <c:val>
            <c:numRef>
              <c:f>'Pivot Table'!$C$39:$C$45</c:f>
              <c:numCache>
                <c:formatCode>[&gt;=1000000]\ \₦\ #,##0.00,,\ "M";[&gt;=100]\ \₦\ #.00,\ "K";\ \₦###.00</c:formatCode>
                <c:ptCount val="6"/>
                <c:pt idx="0">
                  <c:v>6174634</c:v>
                </c:pt>
                <c:pt idx="1">
                  <c:v>6771709</c:v>
                </c:pt>
                <c:pt idx="2">
                  <c:v>5567692</c:v>
                </c:pt>
                <c:pt idx="3">
                  <c:v>2550544</c:v>
                </c:pt>
                <c:pt idx="4">
                  <c:v>8873349</c:v>
                </c:pt>
                <c:pt idx="5">
                  <c:v>4054509</c:v>
                </c:pt>
              </c:numCache>
            </c:numRef>
          </c:val>
          <c:smooth val="0"/>
          <c:extLst>
            <c:ext xmlns:c16="http://schemas.microsoft.com/office/drawing/2014/chart" uri="{C3380CC4-5D6E-409C-BE32-E72D297353CC}">
              <c16:uniqueId val="{00000001-1C2B-4082-9AFF-8567534AC2FD}"/>
            </c:ext>
          </c:extLst>
        </c:ser>
        <c:dLbls>
          <c:dLblPos val="t"/>
          <c:showLegendKey val="0"/>
          <c:showVal val="1"/>
          <c:showCatName val="0"/>
          <c:showSerName val="0"/>
          <c:showPercent val="0"/>
          <c:showBubbleSize val="0"/>
        </c:dLbls>
        <c:smooth val="0"/>
        <c:axId val="1916923791"/>
        <c:axId val="1916907471"/>
      </c:lineChart>
      <c:catAx>
        <c:axId val="191692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6907471"/>
        <c:crosses val="autoZero"/>
        <c:auto val="1"/>
        <c:lblAlgn val="ctr"/>
        <c:lblOffset val="100"/>
        <c:noMultiLvlLbl val="0"/>
      </c:catAx>
      <c:valAx>
        <c:axId val="1916907471"/>
        <c:scaling>
          <c:orientation val="minMax"/>
        </c:scaling>
        <c:delete val="0"/>
        <c:axPos val="l"/>
        <c:numFmt formatCode="[&gt;=1000000]\ \₦\ #,##0.00,,\ &quot;M&quot;;[&gt;=100]\ \₦\ #.00,\ &quot;K&quot;;\ \₦###.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69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38100" dir="8100000" algn="tr"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[NaijaMart_360_sales_data.xlsx]Pivot Table!PT_top5_product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 \₦\ #,##0.00,,\ &quot;M&quot;;[&gt;=100]\ \₦\ #.00,\ &quot;K&quot;;\ \₦###.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 \₦\ #,##0.00,,\ &quot;M&quot;;[&gt;=100]\ \₦\ #.00,\ &quot;K&quot;;\ \₦###.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 \₦\ #,##0.00,,\ &quot;M&quot;;[&gt;=100]\ \₦\ #.00,\ &quot;K&quot;;\ \₦###.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Table'!$F$27</c:f>
              <c:strCache>
                <c:ptCount val="1"/>
                <c:pt idx="0">
                  <c:v>Total</c:v>
                </c:pt>
              </c:strCache>
            </c:strRef>
          </c:tx>
          <c:spPr>
            <a:solidFill>
              <a:schemeClr val="accent1"/>
            </a:solidFill>
            <a:ln>
              <a:noFill/>
            </a:ln>
            <a:effectLst/>
          </c:spPr>
          <c:invertIfNegative val="0"/>
          <c:dLbls>
            <c:numFmt formatCode="[&gt;=1000000]\ \₦\ #,##0.00,,\ &quot;M&quot;;[&gt;=100]\ \₦\ #.00,\ &quot;K&quot;;\ \₦###.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Table'!$E$28:$E$33</c:f>
              <c:strCache>
                <c:ptCount val="5"/>
                <c:pt idx="0">
                  <c:v>HP LaserJet Printer</c:v>
                </c:pt>
                <c:pt idx="1">
                  <c:v>iPhone 15 Pro</c:v>
                </c:pt>
                <c:pt idx="2">
                  <c:v>Laptop Dell XPS 13</c:v>
                </c:pt>
                <c:pt idx="3">
                  <c:v>Refrigerator 250L</c:v>
                </c:pt>
                <c:pt idx="4">
                  <c:v>Samsung 65" QLED TV</c:v>
                </c:pt>
              </c:strCache>
            </c:strRef>
          </c:cat>
          <c:val>
            <c:numRef>
              <c:f>'Pivot Table'!$F$28:$F$33</c:f>
              <c:numCache>
                <c:formatCode>General</c:formatCode>
                <c:ptCount val="5"/>
                <c:pt idx="0">
                  <c:v>7499446</c:v>
                </c:pt>
                <c:pt idx="1">
                  <c:v>24980985</c:v>
                </c:pt>
                <c:pt idx="2">
                  <c:v>14183443</c:v>
                </c:pt>
                <c:pt idx="3">
                  <c:v>9952967</c:v>
                </c:pt>
                <c:pt idx="4">
                  <c:v>37498535</c:v>
                </c:pt>
              </c:numCache>
            </c:numRef>
          </c:val>
          <c:extLst>
            <c:ext xmlns:c16="http://schemas.microsoft.com/office/drawing/2014/chart" uri="{C3380CC4-5D6E-409C-BE32-E72D297353CC}">
              <c16:uniqueId val="{00000000-5FB9-43B2-9EAB-55A92B72C62E}"/>
            </c:ext>
          </c:extLst>
        </c:ser>
        <c:dLbls>
          <c:dLblPos val="outEnd"/>
          <c:showLegendKey val="0"/>
          <c:showVal val="1"/>
          <c:showCatName val="0"/>
          <c:showSerName val="0"/>
          <c:showPercent val="0"/>
          <c:showBubbleSize val="0"/>
        </c:dLbls>
        <c:gapWidth val="182"/>
        <c:axId val="30976655"/>
        <c:axId val="30993455"/>
      </c:barChart>
      <c:catAx>
        <c:axId val="30976655"/>
        <c:scaling>
          <c:orientation val="minMax"/>
        </c:scaling>
        <c:delete val="0"/>
        <c:axPos val="l"/>
        <c:numFmt formatCode="[&gt;=1000000]\ \₦\ #,##0.00,,\ &quot;M&quot;;[&gt;=100]\ \₦\ #.00,\ &quot;K&quot;;\ \₦###.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0993455"/>
        <c:crosses val="autoZero"/>
        <c:auto val="1"/>
        <c:lblAlgn val="ctr"/>
        <c:lblOffset val="100"/>
        <c:noMultiLvlLbl val="0"/>
      </c:catAx>
      <c:valAx>
        <c:axId val="30993455"/>
        <c:scaling>
          <c:orientation val="minMax"/>
        </c:scaling>
        <c:delete val="0"/>
        <c:axPos val="b"/>
        <c:numFmt formatCode="[&gt;=1000000]\ \₦\ #,##0.00,,\ &quot;M&quot;;[&gt;=100]\ \₦\ #.00,\ &quot;K&quot;;\ \₦###.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97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[NaijaMart_360_sales_data.xlsx]Pivot Table!PT_Category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Sales</a:t>
            </a:r>
            <a:r>
              <a:rPr lang="en-US" sz="1600" b="1" baseline="0">
                <a:solidFill>
                  <a:schemeClr val="accent1"/>
                </a:solidFill>
              </a:rPr>
              <a:t> By Category</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Table'!$E$39:$E$44</c:f>
              <c:strCache>
                <c:ptCount val="5"/>
                <c:pt idx="0">
                  <c:v>Accessories</c:v>
                </c:pt>
                <c:pt idx="1">
                  <c:v>Appliances</c:v>
                </c:pt>
                <c:pt idx="2">
                  <c:v>Electronics</c:v>
                </c:pt>
                <c:pt idx="3">
                  <c:v>Fashion</c:v>
                </c:pt>
                <c:pt idx="4">
                  <c:v>Furniture</c:v>
                </c:pt>
              </c:strCache>
            </c:strRef>
          </c:cat>
          <c:val>
            <c:numRef>
              <c:f>'Pivot Table'!$F$39:$F$44</c:f>
              <c:numCache>
                <c:formatCode>[&gt;=1000000]\ \₦\ #,##0.00,,\ "M";[&gt;=100]\ \₦\ #.00,\ "K";\ \₦###.00</c:formatCode>
                <c:ptCount val="5"/>
                <c:pt idx="0">
                  <c:v>6992788</c:v>
                </c:pt>
                <c:pt idx="1">
                  <c:v>15825015</c:v>
                </c:pt>
                <c:pt idx="2">
                  <c:v>84162409</c:v>
                </c:pt>
                <c:pt idx="3">
                  <c:v>2354109</c:v>
                </c:pt>
                <c:pt idx="4">
                  <c:v>16159699</c:v>
                </c:pt>
              </c:numCache>
            </c:numRef>
          </c:val>
          <c:extLst>
            <c:ext xmlns:c16="http://schemas.microsoft.com/office/drawing/2014/chart" uri="{C3380CC4-5D6E-409C-BE32-E72D297353CC}">
              <c16:uniqueId val="{00000000-C804-4198-9CF6-F65FF1DA27DC}"/>
            </c:ext>
          </c:extLst>
        </c:ser>
        <c:dLbls>
          <c:dLblPos val="outEnd"/>
          <c:showLegendKey val="0"/>
          <c:showVal val="1"/>
          <c:showCatName val="0"/>
          <c:showSerName val="0"/>
          <c:showPercent val="0"/>
          <c:showBubbleSize val="0"/>
        </c:dLbls>
        <c:gapWidth val="182"/>
        <c:axId val="30938735"/>
        <c:axId val="30948335"/>
      </c:barChart>
      <c:catAx>
        <c:axId val="3093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948335"/>
        <c:crosses val="autoZero"/>
        <c:auto val="1"/>
        <c:lblAlgn val="ctr"/>
        <c:lblOffset val="100"/>
        <c:noMultiLvlLbl val="0"/>
      </c:catAx>
      <c:valAx>
        <c:axId val="30948335"/>
        <c:scaling>
          <c:orientation val="minMax"/>
        </c:scaling>
        <c:delete val="0"/>
        <c:axPos val="b"/>
        <c:numFmt formatCode="[&gt;=1000000]\ \₦\ #,##0.00,,\ &quot;M&quot;;[&gt;=100]\ \₦\ #.00,\ &quot;K&quot;;\ \₦###.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938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[NaijaMart_360_sales_data.xlsx]Pivot Table!PT_Sales_Channel</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Sales</a:t>
            </a:r>
            <a:r>
              <a:rPr lang="en-US" b="1" baseline="0">
                <a:solidFill>
                  <a:schemeClr val="accent1"/>
                </a:solidFill>
              </a:rPr>
              <a:t> Channel Performance</a:t>
            </a:r>
          </a:p>
          <a:p>
            <a:pPr>
              <a:defRPr/>
            </a:pP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barChart>
        <c:barDir val="col"/>
        <c:grouping val="clustered"/>
        <c:varyColors val="0"/>
        <c:ser>
          <c:idx val="0"/>
          <c:order val="0"/>
          <c:tx>
            <c:strRef>
              <c:f>'Pivot Table'!$E$48</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C5F0-4DE2-9D59-10943DE3F99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C5F0-4DE2-9D59-10943DE3F99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C5F0-4DE2-9D59-10943DE3F990}"/>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C5F0-4DE2-9D59-10943DE3F990}"/>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C5F0-4DE2-9D59-10943DE3F9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Table'!$D$49:$D$54</c:f>
              <c:strCache>
                <c:ptCount val="5"/>
                <c:pt idx="0">
                  <c:v>In-Store</c:v>
                </c:pt>
                <c:pt idx="1">
                  <c:v>Jiji</c:v>
                </c:pt>
                <c:pt idx="2">
                  <c:v>Jumia</c:v>
                </c:pt>
                <c:pt idx="3">
                  <c:v>Online</c:v>
                </c:pt>
                <c:pt idx="4">
                  <c:v>WhatsApp</c:v>
                </c:pt>
              </c:strCache>
            </c:strRef>
          </c:cat>
          <c:val>
            <c:numRef>
              <c:f>'Pivot Table'!$E$49:$E$54</c:f>
              <c:numCache>
                <c:formatCode>[&gt;=1000000]\ \₦\ #,##0.00,,\ "M";[&gt;=100]\ \₦\ #.00,\ "K";\ \₦###.00</c:formatCode>
                <c:ptCount val="5"/>
                <c:pt idx="0">
                  <c:v>26365070</c:v>
                </c:pt>
                <c:pt idx="1">
                  <c:v>28523966</c:v>
                </c:pt>
                <c:pt idx="2">
                  <c:v>29559869</c:v>
                </c:pt>
                <c:pt idx="3">
                  <c:v>14613348</c:v>
                </c:pt>
                <c:pt idx="4">
                  <c:v>26431767</c:v>
                </c:pt>
              </c:numCache>
            </c:numRef>
          </c:val>
          <c:extLst>
            <c:ext xmlns:c16="http://schemas.microsoft.com/office/drawing/2014/chart" uri="{C3380CC4-5D6E-409C-BE32-E72D297353CC}">
              <c16:uniqueId val="{0000000A-C5F0-4DE2-9D59-10943DE3F990}"/>
            </c:ext>
          </c:extLst>
        </c:ser>
        <c:dLbls>
          <c:showLegendKey val="0"/>
          <c:showVal val="0"/>
          <c:showCatName val="0"/>
          <c:showSerName val="0"/>
          <c:showPercent val="0"/>
          <c:showBubbleSize val="0"/>
        </c:dLbls>
        <c:gapWidth val="100"/>
        <c:axId val="30977135"/>
        <c:axId val="30977615"/>
      </c:barChart>
      <c:catAx>
        <c:axId val="30977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7615"/>
        <c:crosses val="autoZero"/>
        <c:auto val="1"/>
        <c:lblAlgn val="ctr"/>
        <c:lblOffset val="100"/>
        <c:noMultiLvlLbl val="0"/>
      </c:catAx>
      <c:valAx>
        <c:axId val="30977615"/>
        <c:scaling>
          <c:orientation val="minMax"/>
        </c:scaling>
        <c:delete val="0"/>
        <c:axPos val="l"/>
        <c:numFmt formatCode="[&gt;=1000000]\ \₦\ #,##0.00,,\ &quot;M&quot;;[&gt;=100]\ \₦\ #.00,\ &quot;K&quot;;\ \₦###.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7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[NaijaMart_360_sales_data.xlsx]Pivot Table!_T_Sales_Channel</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Payment</a:t>
            </a:r>
            <a:r>
              <a:rPr lang="en-US" sz="1600" b="1" baseline="0">
                <a:solidFill>
                  <a:schemeClr val="accent1"/>
                </a:solidFill>
              </a:rPr>
              <a:t> Method Performance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Table'!$H$48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46-4277-ABA3-829546B7CB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46-4277-ABA3-829546B7CB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46-4277-ABA3-829546B7CB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346-4277-ABA3-829546B7CB3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346-4277-ABA3-829546B7CB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Table'!$G$49:$G$54</c:f>
              <c:strCache>
                <c:ptCount val="5"/>
                <c:pt idx="0">
                  <c:v>Bank Transfer</c:v>
                </c:pt>
                <c:pt idx="1">
                  <c:v>Cash on Delivery</c:v>
                </c:pt>
                <c:pt idx="2">
                  <c:v>Credit Card</c:v>
                </c:pt>
                <c:pt idx="3">
                  <c:v>Paystack</c:v>
                </c:pt>
                <c:pt idx="4">
                  <c:v>POS</c:v>
                </c:pt>
              </c:strCache>
            </c:strRef>
          </c:cat>
          <c:val>
            <c:numRef>
              <c:f>'Pivot Table'!$H$49:$H$54</c:f>
              <c:numCache>
                <c:formatCode>[&gt;=1000000]\ \₦\ #,##0.00,,\ "M";[&gt;=100]\ \₦\ #.00,\ "K";\ \₦###.00</c:formatCode>
                <c:ptCount val="5"/>
                <c:pt idx="0">
                  <c:v>15596729</c:v>
                </c:pt>
                <c:pt idx="1">
                  <c:v>23962973</c:v>
                </c:pt>
                <c:pt idx="2">
                  <c:v>30376079</c:v>
                </c:pt>
                <c:pt idx="3">
                  <c:v>18976244</c:v>
                </c:pt>
                <c:pt idx="4">
                  <c:v>36581995</c:v>
                </c:pt>
              </c:numCache>
            </c:numRef>
          </c:val>
          <c:extLst>
            <c:ext xmlns:c16="http://schemas.microsoft.com/office/drawing/2014/chart" uri="{C3380CC4-5D6E-409C-BE32-E72D297353CC}">
              <c16:uniqueId val="{0000000A-7346-4277-ABA3-829546B7CB3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[NaijaMart_360_sales_data.xlsx]Pivot Table!PT_Sales_Channel</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Channel</a:t>
            </a:r>
            <a:r>
              <a:rPr lang="en-US" sz="1600" b="1" baseline="0">
                <a:solidFill>
                  <a:schemeClr val="accent1"/>
                </a:solidFill>
              </a:rPr>
              <a:t> Performance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Table'!$E$48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B8-40BE-83A8-A12701D6D2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B8-40BE-83A8-A12701D6D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B8-40BE-83A8-A12701D6D2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B8-40BE-83A8-A12701D6D2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8B8-40BE-83A8-A12701D6D2D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Table'!$D$49:$D$54</c:f>
              <c:strCache>
                <c:ptCount val="5"/>
                <c:pt idx="0">
                  <c:v>In-Store</c:v>
                </c:pt>
                <c:pt idx="1">
                  <c:v>Jiji</c:v>
                </c:pt>
                <c:pt idx="2">
                  <c:v>Jumia</c:v>
                </c:pt>
                <c:pt idx="3">
                  <c:v>Online</c:v>
                </c:pt>
                <c:pt idx="4">
                  <c:v>WhatsApp</c:v>
                </c:pt>
              </c:strCache>
            </c:strRef>
          </c:cat>
          <c:val>
            <c:numRef>
              <c:f>'Pivot Table'!$E$49:$E$54</c:f>
              <c:numCache>
                <c:formatCode>[&gt;=1000000]\ \₦\ #,##0.00,,\ "M";[&gt;=100]\ \₦\ #.00,\ "K";\ \₦###.00</c:formatCode>
                <c:ptCount val="5"/>
                <c:pt idx="0">
                  <c:v>26365070</c:v>
                </c:pt>
                <c:pt idx="1">
                  <c:v>28523966</c:v>
                </c:pt>
                <c:pt idx="2">
                  <c:v>29559869</c:v>
                </c:pt>
                <c:pt idx="3">
                  <c:v>14613348</c:v>
                </c:pt>
                <c:pt idx="4">
                  <c:v>26431767</c:v>
                </c:pt>
              </c:numCache>
            </c:numRef>
          </c:val>
          <c:extLst>
            <c:ext xmlns:c16="http://schemas.microsoft.com/office/drawing/2014/chart" uri="{C3380CC4-5D6E-409C-BE32-E72D297353CC}">
              <c16:uniqueId val="{0000000A-48B8-40BE-83A8-A12701D6D2DB}"/>
            </c:ext>
          </c:extLst>
        </c:ser>
        <c:dLbls>
          <c:showLegendKey val="0"/>
          <c:showVal val="1"/>
          <c:showCatName val="0"/>
          <c:showSerName val="0"/>
          <c:showPercent val="0"/>
          <c:showBubbleSize val="0"/>
          <c:showLeaderLines val="1"/>
        </c:dLbls>
        <c:firstSliceAng val="0"/>
        <c:holeSize val="50"/>
      </c:doughnutChart>
      <c:spPr>
        <a:noFill/>
        <a:ln>
          <a:solidFill>
            <a:schemeClr val="accent1">
              <a:alpha val="61000"/>
            </a:schemeClr>
          </a:solidFill>
        </a:ln>
        <a:effectLst>
          <a:outerShdw blurRad="50800" dist="50800" dir="5400000" sx="11000" sy="11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Sales Data'!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openxmlformats.org/officeDocument/2006/relationships/hyperlink" Target="#'Sales Data'!A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hyperlink" Target="#'Pivot Table'!A1"/><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1022350</xdr:colOff>
      <xdr:row>0</xdr:row>
      <xdr:rowOff>50800</xdr:rowOff>
    </xdr:from>
    <xdr:to>
      <xdr:col>1</xdr:col>
      <xdr:colOff>1238250</xdr:colOff>
      <xdr:row>1</xdr:row>
      <xdr:rowOff>69850</xdr:rowOff>
    </xdr:to>
    <xdr:grpSp>
      <xdr:nvGrpSpPr>
        <xdr:cNvPr id="10" name="Group 9">
          <a:extLst>
            <a:ext uri="{FF2B5EF4-FFF2-40B4-BE49-F238E27FC236}">
              <a16:creationId xmlns:a16="http://schemas.microsoft.com/office/drawing/2014/main" id="{B5162F7D-E6B0-4905-31C5-545FE2EFC9AD}"/>
            </a:ext>
          </a:extLst>
        </xdr:cNvPr>
        <xdr:cNvGrpSpPr/>
      </xdr:nvGrpSpPr>
      <xdr:grpSpPr>
        <a:xfrm>
          <a:off x="1022350" y="50800"/>
          <a:ext cx="1358900" cy="476250"/>
          <a:chOff x="1441450" y="50800"/>
          <a:chExt cx="1517650" cy="476250"/>
        </a:xfrm>
      </xdr:grpSpPr>
      <xdr:sp macro="" textlink="">
        <xdr:nvSpPr>
          <xdr:cNvPr id="2" name="Rectangle: Rounded Corners 1">
            <a:extLst>
              <a:ext uri="{FF2B5EF4-FFF2-40B4-BE49-F238E27FC236}">
                <a16:creationId xmlns:a16="http://schemas.microsoft.com/office/drawing/2014/main" id="{ECD2EBC7-1AA1-31D7-7831-C8ED3CDCE78B}"/>
              </a:ext>
            </a:extLst>
          </xdr:cNvPr>
          <xdr:cNvSpPr/>
        </xdr:nvSpPr>
        <xdr:spPr>
          <a:xfrm>
            <a:off x="1441450" y="50800"/>
            <a:ext cx="1517650" cy="4762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4" name="TextBox 3">
            <a:hlinkClick xmlns:r="http://schemas.openxmlformats.org/officeDocument/2006/relationships" r:id="rId1"/>
            <a:extLst>
              <a:ext uri="{FF2B5EF4-FFF2-40B4-BE49-F238E27FC236}">
                <a16:creationId xmlns:a16="http://schemas.microsoft.com/office/drawing/2014/main" id="{BBF2FF1B-1CBC-CFCA-F445-B865572C34DB}"/>
              </a:ext>
            </a:extLst>
          </xdr:cNvPr>
          <xdr:cNvSpPr txBox="1"/>
        </xdr:nvSpPr>
        <xdr:spPr>
          <a:xfrm>
            <a:off x="1530350" y="120650"/>
            <a:ext cx="12446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solidFill>
              </a:rPr>
              <a:t>Dashboard</a:t>
            </a:r>
          </a:p>
        </xdr:txBody>
      </xdr:sp>
    </xdr:grpSp>
    <xdr:clientData/>
  </xdr:twoCellAnchor>
  <xdr:twoCellAnchor>
    <xdr:from>
      <xdr:col>1</xdr:col>
      <xdr:colOff>1301750</xdr:colOff>
      <xdr:row>0</xdr:row>
      <xdr:rowOff>50800</xdr:rowOff>
    </xdr:from>
    <xdr:to>
      <xdr:col>3</xdr:col>
      <xdr:colOff>139700</xdr:colOff>
      <xdr:row>1</xdr:row>
      <xdr:rowOff>69850</xdr:rowOff>
    </xdr:to>
    <xdr:grpSp>
      <xdr:nvGrpSpPr>
        <xdr:cNvPr id="9" name="Group 8">
          <a:extLst>
            <a:ext uri="{FF2B5EF4-FFF2-40B4-BE49-F238E27FC236}">
              <a16:creationId xmlns:a16="http://schemas.microsoft.com/office/drawing/2014/main" id="{2347AE20-5A7F-5EF7-6E72-CE4FAD6B47A8}"/>
            </a:ext>
          </a:extLst>
        </xdr:cNvPr>
        <xdr:cNvGrpSpPr/>
      </xdr:nvGrpSpPr>
      <xdr:grpSpPr>
        <a:xfrm>
          <a:off x="2444750" y="50800"/>
          <a:ext cx="1517650" cy="476250"/>
          <a:chOff x="3022600" y="50800"/>
          <a:chExt cx="1930400" cy="476250"/>
        </a:xfrm>
      </xdr:grpSpPr>
      <xdr:sp macro="" textlink="">
        <xdr:nvSpPr>
          <xdr:cNvPr id="7" name="Rectangle: Rounded Corners 6">
            <a:extLst>
              <a:ext uri="{FF2B5EF4-FFF2-40B4-BE49-F238E27FC236}">
                <a16:creationId xmlns:a16="http://schemas.microsoft.com/office/drawing/2014/main" id="{27BD54C6-0C45-BD1A-797C-3E38942F0231}"/>
              </a:ext>
            </a:extLst>
          </xdr:cNvPr>
          <xdr:cNvSpPr/>
        </xdr:nvSpPr>
        <xdr:spPr>
          <a:xfrm>
            <a:off x="3022600" y="50800"/>
            <a:ext cx="1930400" cy="4762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8" name="TextBox 7">
            <a:hlinkClick xmlns:r="http://schemas.openxmlformats.org/officeDocument/2006/relationships" r:id="rId2"/>
            <a:extLst>
              <a:ext uri="{FF2B5EF4-FFF2-40B4-BE49-F238E27FC236}">
                <a16:creationId xmlns:a16="http://schemas.microsoft.com/office/drawing/2014/main" id="{32A07E5F-03FA-BAF9-5352-CFFAF37FB7E7}"/>
              </a:ext>
            </a:extLst>
          </xdr:cNvPr>
          <xdr:cNvSpPr txBox="1"/>
        </xdr:nvSpPr>
        <xdr:spPr>
          <a:xfrm>
            <a:off x="3161078" y="133350"/>
            <a:ext cx="158309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solidFill>
              </a:rPr>
              <a:t>Sales Data</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38</xdr:row>
      <xdr:rowOff>60325</xdr:rowOff>
    </xdr:from>
    <xdr:to>
      <xdr:col>3</xdr:col>
      <xdr:colOff>187200</xdr:colOff>
      <xdr:row>48</xdr:row>
      <xdr:rowOff>6350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23E6CCEB-93C3-460F-931A-76693491D4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7058025"/>
              <a:ext cx="2016000" cy="178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152400</xdr:rowOff>
    </xdr:from>
    <xdr:to>
      <xdr:col>3</xdr:col>
      <xdr:colOff>187200</xdr:colOff>
      <xdr:row>38</xdr:row>
      <xdr:rowOff>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5A2B122-C96E-427D-9A76-0C108CC588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572000"/>
              <a:ext cx="2016000" cy="242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106363</xdr:rowOff>
    </xdr:from>
    <xdr:to>
      <xdr:col>3</xdr:col>
      <xdr:colOff>187200</xdr:colOff>
      <xdr:row>24</xdr:row>
      <xdr:rowOff>46038</xdr:rowOff>
    </xdr:to>
    <mc:AlternateContent xmlns:mc="http://schemas.openxmlformats.org/markup-compatibility/2006" xmlns:a14="http://schemas.microsoft.com/office/drawing/2010/main">
      <mc:Choice Requires="a14">
        <xdr:graphicFrame macro="">
          <xdr:nvGraphicFramePr>
            <xdr:cNvPr id="4" name="Sales_Channel">
              <a:extLst>
                <a:ext uri="{FF2B5EF4-FFF2-40B4-BE49-F238E27FC236}">
                  <a16:creationId xmlns:a16="http://schemas.microsoft.com/office/drawing/2014/main" id="{B66D5781-2913-4BAA-9D4C-6BFAA57C1184}"/>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0" y="2684463"/>
              <a:ext cx="20160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285750</xdr:colOff>
      <xdr:row>4</xdr:row>
      <xdr:rowOff>69850</xdr:rowOff>
    </xdr:from>
    <xdr:to>
      <xdr:col>6</xdr:col>
      <xdr:colOff>139700</xdr:colOff>
      <xdr:row>11</xdr:row>
      <xdr:rowOff>177800</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C105F787-8F8A-45E6-866A-A201793D382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114550" y="806450"/>
              <a:ext cx="1682750" cy="1397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127000</xdr:colOff>
      <xdr:row>4</xdr:row>
      <xdr:rowOff>69850</xdr:rowOff>
    </xdr:from>
    <xdr:to>
      <xdr:col>20</xdr:col>
      <xdr:colOff>0</xdr:colOff>
      <xdr:row>11</xdr:row>
      <xdr:rowOff>152400</xdr:rowOff>
    </xdr:to>
    <mc:AlternateContent xmlns:mc="http://schemas.openxmlformats.org/markup-compatibility/2006" xmlns:tsle="http://schemas.microsoft.com/office/drawing/2012/timeslicer">
      <mc:Choice Requires="tsle">
        <xdr:graphicFrame macro="">
          <xdr:nvGraphicFramePr>
            <xdr:cNvPr id="8" name="Order_Date 1">
              <a:extLst>
                <a:ext uri="{FF2B5EF4-FFF2-40B4-BE49-F238E27FC236}">
                  <a16:creationId xmlns:a16="http://schemas.microsoft.com/office/drawing/2014/main" id="{822ACB85-AE8C-4FEA-A99E-FB4381E98751}"/>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9880600" y="806450"/>
              <a:ext cx="23114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607484</xdr:colOff>
      <xdr:row>4</xdr:row>
      <xdr:rowOff>69850</xdr:rowOff>
    </xdr:from>
    <xdr:to>
      <xdr:col>15</xdr:col>
      <xdr:colOff>607484</xdr:colOff>
      <xdr:row>11</xdr:row>
      <xdr:rowOff>177800</xdr:rowOff>
    </xdr:to>
    <mc:AlternateContent xmlns:mc="http://schemas.openxmlformats.org/markup-compatibility/2006" xmlns:tsle="http://schemas.microsoft.com/office/drawing/2012/timeslicer">
      <mc:Choice Requires="tsle">
        <xdr:graphicFrame macro="">
          <xdr:nvGraphicFramePr>
            <xdr:cNvPr id="9" name="Order_Date 2">
              <a:extLst>
                <a:ext uri="{FF2B5EF4-FFF2-40B4-BE49-F238E27FC236}">
                  <a16:creationId xmlns:a16="http://schemas.microsoft.com/office/drawing/2014/main" id="{DAA3A374-1269-4BB2-AE61-CA16B7C32E4D}"/>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6703484" y="806450"/>
              <a:ext cx="3048000" cy="1397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0</xdr:row>
      <xdr:rowOff>31750</xdr:rowOff>
    </xdr:from>
    <xdr:to>
      <xdr:col>20</xdr:col>
      <xdr:colOff>0</xdr:colOff>
      <xdr:row>4</xdr:row>
      <xdr:rowOff>31750</xdr:rowOff>
    </xdr:to>
    <xdr:sp macro="" textlink="">
      <xdr:nvSpPr>
        <xdr:cNvPr id="11" name="Rectangle: Rounded Corners 10">
          <a:extLst>
            <a:ext uri="{FF2B5EF4-FFF2-40B4-BE49-F238E27FC236}">
              <a16:creationId xmlns:a16="http://schemas.microsoft.com/office/drawing/2014/main" id="{9BAC2AA6-D5F9-EE17-7B54-7CB23193C931}"/>
            </a:ext>
          </a:extLst>
        </xdr:cNvPr>
        <xdr:cNvSpPr/>
      </xdr:nvSpPr>
      <xdr:spPr>
        <a:xfrm>
          <a:off x="0" y="31750"/>
          <a:ext cx="12192000" cy="736600"/>
        </a:xfrm>
        <a:prstGeom prst="roundRect">
          <a:avLst/>
        </a:prstGeom>
        <a:solidFill>
          <a:schemeClr val="tx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4</xdr:row>
      <xdr:rowOff>82550</xdr:rowOff>
    </xdr:from>
    <xdr:to>
      <xdr:col>3</xdr:col>
      <xdr:colOff>187200</xdr:colOff>
      <xdr:row>14</xdr:row>
      <xdr:rowOff>0</xdr:rowOff>
    </xdr:to>
    <mc:AlternateContent xmlns:mc="http://schemas.openxmlformats.org/markup-compatibility/2006" xmlns:a14="http://schemas.microsoft.com/office/drawing/2010/main">
      <mc:Choice Requires="a14">
        <xdr:graphicFrame macro="">
          <xdr:nvGraphicFramePr>
            <xdr:cNvPr id="15" name="Payment_Method 1">
              <a:extLst>
                <a:ext uri="{FF2B5EF4-FFF2-40B4-BE49-F238E27FC236}">
                  <a16:creationId xmlns:a16="http://schemas.microsoft.com/office/drawing/2014/main" id="{BAB1305A-6610-CD5D-3C2E-E2B945157222}"/>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0" y="819150"/>
              <a:ext cx="2016000" cy="1758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95250</xdr:colOff>
      <xdr:row>0</xdr:row>
      <xdr:rowOff>57150</xdr:rowOff>
    </xdr:from>
    <xdr:to>
      <xdr:col>13</xdr:col>
      <xdr:colOff>298450</xdr:colOff>
      <xdr:row>4</xdr:row>
      <xdr:rowOff>31750</xdr:rowOff>
    </xdr:to>
    <xdr:sp macro="" textlink="">
      <xdr:nvSpPr>
        <xdr:cNvPr id="16" name="TextBox 15">
          <a:extLst>
            <a:ext uri="{FF2B5EF4-FFF2-40B4-BE49-F238E27FC236}">
              <a16:creationId xmlns:a16="http://schemas.microsoft.com/office/drawing/2014/main" id="{A5D4C53C-B2FE-9765-665D-5A569C8881D6}"/>
            </a:ext>
          </a:extLst>
        </xdr:cNvPr>
        <xdr:cNvSpPr txBox="1"/>
      </xdr:nvSpPr>
      <xdr:spPr>
        <a:xfrm>
          <a:off x="4362450" y="57150"/>
          <a:ext cx="3860800" cy="711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cap="none" spc="0">
              <a:ln w="0"/>
              <a:solidFill>
                <a:schemeClr val="accent1"/>
              </a:solidFill>
              <a:effectLst>
                <a:outerShdw blurRad="38100" dist="25400" dir="5400000" algn="ctr" rotWithShape="0">
                  <a:srgbClr val="6E747A">
                    <a:alpha val="43000"/>
                  </a:srgbClr>
                </a:outerShdw>
              </a:effectLst>
            </a:rPr>
            <a:t>Naija</a:t>
          </a:r>
          <a:r>
            <a:rPr lang="en-US" sz="2000" b="0" cap="none" spc="0" baseline="0">
              <a:ln w="0"/>
              <a:solidFill>
                <a:schemeClr val="accent1"/>
              </a:solidFill>
              <a:effectLst>
                <a:outerShdw blurRad="38100" dist="25400" dir="5400000" algn="ctr" rotWithShape="0">
                  <a:srgbClr val="6E747A">
                    <a:alpha val="43000"/>
                  </a:srgbClr>
                </a:outerShdw>
              </a:effectLst>
            </a:rPr>
            <a:t> Mart360 Sales Dashboard</a:t>
          </a:r>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6</xdr:col>
      <xdr:colOff>268817</xdr:colOff>
      <xdr:row>4</xdr:row>
      <xdr:rowOff>69850</xdr:rowOff>
    </xdr:from>
    <xdr:to>
      <xdr:col>10</xdr:col>
      <xdr:colOff>478367</xdr:colOff>
      <xdr:row>12</xdr:row>
      <xdr:rowOff>0</xdr:rowOff>
    </xdr:to>
    <mc:AlternateContent xmlns:mc="http://schemas.openxmlformats.org/markup-compatibility/2006" xmlns:tsle="http://schemas.microsoft.com/office/drawing/2012/timeslicer">
      <mc:Choice Requires="tsle">
        <xdr:graphicFrame macro="">
          <xdr:nvGraphicFramePr>
            <xdr:cNvPr id="10" name="Order_Date 3">
              <a:extLst>
                <a:ext uri="{FF2B5EF4-FFF2-40B4-BE49-F238E27FC236}">
                  <a16:creationId xmlns:a16="http://schemas.microsoft.com/office/drawing/2014/main" id="{179CBF59-877A-43B6-A6C4-7F1DF7B6A3CE}"/>
                </a:ext>
              </a:extLst>
            </xdr:cNvPr>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3926417" y="806450"/>
              <a:ext cx="2647950" cy="14033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395225</xdr:colOff>
      <xdr:row>25</xdr:row>
      <xdr:rowOff>19050</xdr:rowOff>
    </xdr:from>
    <xdr:to>
      <xdr:col>12</xdr:col>
      <xdr:colOff>90425</xdr:colOff>
      <xdr:row>36</xdr:row>
      <xdr:rowOff>19050</xdr:rowOff>
    </xdr:to>
    <xdr:graphicFrame macro="">
      <xdr:nvGraphicFramePr>
        <xdr:cNvPr id="21" name="Chart 20">
          <a:extLst>
            <a:ext uri="{FF2B5EF4-FFF2-40B4-BE49-F238E27FC236}">
              <a16:creationId xmlns:a16="http://schemas.microsoft.com/office/drawing/2014/main" id="{56CF6D82-7817-4709-B0C6-34B6B466B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298450</xdr:colOff>
      <xdr:row>25</xdr:row>
      <xdr:rowOff>19050</xdr:rowOff>
    </xdr:from>
    <xdr:to>
      <xdr:col>20</xdr:col>
      <xdr:colOff>0</xdr:colOff>
      <xdr:row>36</xdr:row>
      <xdr:rowOff>19050</xdr:rowOff>
    </xdr:to>
    <xdr:graphicFrame macro="">
      <xdr:nvGraphicFramePr>
        <xdr:cNvPr id="22" name="Chart 21">
          <a:extLst>
            <a:ext uri="{FF2B5EF4-FFF2-40B4-BE49-F238E27FC236}">
              <a16:creationId xmlns:a16="http://schemas.microsoft.com/office/drawing/2014/main" id="{4B4FE1F0-0C7F-4189-93C4-8F0DDF34A3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264500</xdr:colOff>
      <xdr:row>36</xdr:row>
      <xdr:rowOff>165100</xdr:rowOff>
    </xdr:from>
    <xdr:to>
      <xdr:col>8</xdr:col>
      <xdr:colOff>569300</xdr:colOff>
      <xdr:row>48</xdr:row>
      <xdr:rowOff>6350</xdr:rowOff>
    </xdr:to>
    <xdr:graphicFrame macro="">
      <xdr:nvGraphicFramePr>
        <xdr:cNvPr id="23" name="Chart 22">
          <a:extLst>
            <a:ext uri="{FF2B5EF4-FFF2-40B4-BE49-F238E27FC236}">
              <a16:creationId xmlns:a16="http://schemas.microsoft.com/office/drawing/2014/main" id="{32DE88F5-90B1-4B58-A1E4-DA1CDC8E0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37000</xdr:colOff>
      <xdr:row>37</xdr:row>
      <xdr:rowOff>0</xdr:rowOff>
    </xdr:from>
    <xdr:to>
      <xdr:col>14</xdr:col>
      <xdr:colOff>538650</xdr:colOff>
      <xdr:row>48</xdr:row>
      <xdr:rowOff>6350</xdr:rowOff>
    </xdr:to>
    <xdr:graphicFrame macro="">
      <xdr:nvGraphicFramePr>
        <xdr:cNvPr id="26" name="Chart 25">
          <a:extLst>
            <a:ext uri="{FF2B5EF4-FFF2-40B4-BE49-F238E27FC236}">
              <a16:creationId xmlns:a16="http://schemas.microsoft.com/office/drawing/2014/main" id="{530CCD5A-F308-4231-B412-007A0B4E7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6350</xdr:colOff>
      <xdr:row>37</xdr:row>
      <xdr:rowOff>31750</xdr:rowOff>
    </xdr:from>
    <xdr:to>
      <xdr:col>20</xdr:col>
      <xdr:colOff>19050</xdr:colOff>
      <xdr:row>48</xdr:row>
      <xdr:rowOff>6350</xdr:rowOff>
    </xdr:to>
    <xdr:graphicFrame macro="">
      <xdr:nvGraphicFramePr>
        <xdr:cNvPr id="27" name="Chart 26">
          <a:extLst>
            <a:ext uri="{FF2B5EF4-FFF2-40B4-BE49-F238E27FC236}">
              <a16:creationId xmlns:a16="http://schemas.microsoft.com/office/drawing/2014/main" id="{74B5D71C-9A71-45EC-8E70-BFCFF3C24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35050</xdr:colOff>
      <xdr:row>38</xdr:row>
      <xdr:rowOff>87312</xdr:rowOff>
    </xdr:from>
    <xdr:to>
      <xdr:col>3</xdr:col>
      <xdr:colOff>222250</xdr:colOff>
      <xdr:row>48</xdr:row>
      <xdr:rowOff>33337</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121F5286-8A2E-7F6A-AA91-15B522E3DE2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5050" y="7085012"/>
              <a:ext cx="2016000" cy="1787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35050</xdr:colOff>
      <xdr:row>24</xdr:row>
      <xdr:rowOff>139699</xdr:rowOff>
    </xdr:from>
    <xdr:to>
      <xdr:col>3</xdr:col>
      <xdr:colOff>222250</xdr:colOff>
      <xdr:row>37</xdr:row>
      <xdr:rowOff>171449</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A0CB830F-7254-6C4A-E83A-441535842D8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5050" y="4559299"/>
              <a:ext cx="2016000" cy="242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35050</xdr:colOff>
      <xdr:row>14</xdr:row>
      <xdr:rowOff>100012</xdr:rowOff>
    </xdr:from>
    <xdr:to>
      <xdr:col>3</xdr:col>
      <xdr:colOff>222250</xdr:colOff>
      <xdr:row>24</xdr:row>
      <xdr:rowOff>39687</xdr:rowOff>
    </xdr:to>
    <mc:AlternateContent xmlns:mc="http://schemas.openxmlformats.org/markup-compatibility/2006" xmlns:a14="http://schemas.microsoft.com/office/drawing/2010/main">
      <mc:Choice Requires="a14">
        <xdr:graphicFrame macro="">
          <xdr:nvGraphicFramePr>
            <xdr:cNvPr id="30" name="Sales_Channel 1">
              <a:extLst>
                <a:ext uri="{FF2B5EF4-FFF2-40B4-BE49-F238E27FC236}">
                  <a16:creationId xmlns:a16="http://schemas.microsoft.com/office/drawing/2014/main" id="{592ED550-805E-E15E-F820-FEB08C00E19D}"/>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35050" y="2678112"/>
              <a:ext cx="2016000" cy="1781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368300</xdr:colOff>
      <xdr:row>12</xdr:row>
      <xdr:rowOff>127000</xdr:rowOff>
    </xdr:from>
    <xdr:to>
      <xdr:col>9</xdr:col>
      <xdr:colOff>298450</xdr:colOff>
      <xdr:row>23</xdr:row>
      <xdr:rowOff>127000</xdr:rowOff>
    </xdr:to>
    <xdr:graphicFrame macro="">
      <xdr:nvGraphicFramePr>
        <xdr:cNvPr id="31" name="Chart 30">
          <a:extLst>
            <a:ext uri="{FF2B5EF4-FFF2-40B4-BE49-F238E27FC236}">
              <a16:creationId xmlns:a16="http://schemas.microsoft.com/office/drawing/2014/main" id="{6A73802B-211E-4273-B9F6-C0500B47A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450850</xdr:colOff>
      <xdr:row>12</xdr:row>
      <xdr:rowOff>158750</xdr:rowOff>
    </xdr:from>
    <xdr:to>
      <xdr:col>14</xdr:col>
      <xdr:colOff>101600</xdr:colOff>
      <xdr:row>17</xdr:row>
      <xdr:rowOff>88900</xdr:rowOff>
    </xdr:to>
    <xdr:grpSp>
      <xdr:nvGrpSpPr>
        <xdr:cNvPr id="57" name="Group 56">
          <a:extLst>
            <a:ext uri="{FF2B5EF4-FFF2-40B4-BE49-F238E27FC236}">
              <a16:creationId xmlns:a16="http://schemas.microsoft.com/office/drawing/2014/main" id="{481F0E6B-0072-7982-9996-9054BFEC3388}"/>
            </a:ext>
          </a:extLst>
        </xdr:cNvPr>
        <xdr:cNvGrpSpPr/>
      </xdr:nvGrpSpPr>
      <xdr:grpSpPr>
        <a:xfrm>
          <a:off x="5937250" y="2368550"/>
          <a:ext cx="2698750" cy="850900"/>
          <a:chOff x="6654800" y="2400300"/>
          <a:chExt cx="2698750" cy="850900"/>
        </a:xfrm>
      </xdr:grpSpPr>
      <xdr:sp macro="" textlink="">
        <xdr:nvSpPr>
          <xdr:cNvPr id="5" name="Rectangle: Rounded Corners 4">
            <a:extLst>
              <a:ext uri="{FF2B5EF4-FFF2-40B4-BE49-F238E27FC236}">
                <a16:creationId xmlns:a16="http://schemas.microsoft.com/office/drawing/2014/main" id="{8BFE1ADE-A2A6-6409-3CF7-260414C546D1}"/>
              </a:ext>
            </a:extLst>
          </xdr:cNvPr>
          <xdr:cNvSpPr/>
        </xdr:nvSpPr>
        <xdr:spPr>
          <a:xfrm>
            <a:off x="6654800" y="2400300"/>
            <a:ext cx="2698750" cy="8509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2A9F4CD2-DFCD-78C0-9EAC-80B3BDA088B5}"/>
              </a:ext>
            </a:extLst>
          </xdr:cNvPr>
          <xdr:cNvSpPr txBox="1"/>
        </xdr:nvSpPr>
        <xdr:spPr>
          <a:xfrm>
            <a:off x="8001000" y="2857500"/>
            <a:ext cx="127000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solidFill>
                <a:effectLst/>
                <a:latin typeface="+mn-lt"/>
                <a:ea typeface="+mn-ea"/>
                <a:cs typeface="+mn-cs"/>
              </a:rPr>
              <a:t>          200</a:t>
            </a:r>
            <a:r>
              <a:rPr lang="en-US" sz="1400" b="1">
                <a:solidFill>
                  <a:schemeClr val="accent1"/>
                </a:solidFill>
                <a:effectLst/>
              </a:rPr>
              <a:t> </a:t>
            </a:r>
            <a:endParaRPr lang="en-US" sz="1400" b="1">
              <a:solidFill>
                <a:schemeClr val="accent1"/>
              </a:solidFill>
            </a:endParaRPr>
          </a:p>
        </xdr:txBody>
      </xdr:sp>
      <xdr:sp macro="" textlink="">
        <xdr:nvSpPr>
          <xdr:cNvPr id="18" name="TextBox 17">
            <a:extLst>
              <a:ext uri="{FF2B5EF4-FFF2-40B4-BE49-F238E27FC236}">
                <a16:creationId xmlns:a16="http://schemas.microsoft.com/office/drawing/2014/main" id="{05EA8A49-C58C-B77C-1629-CE9E313F7E33}"/>
              </a:ext>
            </a:extLst>
          </xdr:cNvPr>
          <xdr:cNvSpPr txBox="1"/>
        </xdr:nvSpPr>
        <xdr:spPr>
          <a:xfrm>
            <a:off x="7804150" y="2489200"/>
            <a:ext cx="1479550"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accent1"/>
                </a:solidFill>
                <a:effectLst/>
                <a:latin typeface="+mn-lt"/>
                <a:ea typeface="+mn-ea"/>
                <a:cs typeface="+mn-cs"/>
              </a:rPr>
              <a:t>       </a:t>
            </a:r>
            <a:r>
              <a:rPr lang="en-US" sz="1400" b="1" i="0" u="none" strike="noStrike">
                <a:solidFill>
                  <a:schemeClr val="tx1"/>
                </a:solidFill>
                <a:effectLst/>
                <a:latin typeface="+mn-lt"/>
                <a:ea typeface="+mn-ea"/>
                <a:cs typeface="+mn-cs"/>
              </a:rPr>
              <a:t>Total</a:t>
            </a:r>
            <a:r>
              <a:rPr lang="en-US" sz="1400" b="1" i="0" u="none" strike="noStrike" baseline="0">
                <a:solidFill>
                  <a:schemeClr val="tx1"/>
                </a:solidFill>
                <a:effectLst/>
                <a:latin typeface="+mn-lt"/>
                <a:ea typeface="+mn-ea"/>
                <a:cs typeface="+mn-cs"/>
              </a:rPr>
              <a:t> Order</a:t>
            </a:r>
            <a:endParaRPr lang="en-US" sz="1400" b="1">
              <a:solidFill>
                <a:schemeClr val="tx1"/>
              </a:solidFill>
            </a:endParaRPr>
          </a:p>
        </xdr:txBody>
      </xdr:sp>
      <xdr:pic>
        <xdr:nvPicPr>
          <xdr:cNvPr id="20" name="Graphic 19" descr="Shopping cart with solid fill">
            <a:extLst>
              <a:ext uri="{FF2B5EF4-FFF2-40B4-BE49-F238E27FC236}">
                <a16:creationId xmlns:a16="http://schemas.microsoft.com/office/drawing/2014/main" id="{98C40B81-3CDD-D177-1480-8429F4C65E5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15150" y="2616200"/>
            <a:ext cx="539750" cy="508000"/>
          </a:xfrm>
          <a:prstGeom prst="rect">
            <a:avLst/>
          </a:prstGeom>
        </xdr:spPr>
      </xdr:pic>
    </xdr:grpSp>
    <xdr:clientData/>
  </xdr:twoCellAnchor>
  <xdr:twoCellAnchor>
    <xdr:from>
      <xdr:col>9</xdr:col>
      <xdr:colOff>450850</xdr:colOff>
      <xdr:row>18</xdr:row>
      <xdr:rowOff>146050</xdr:rowOff>
    </xdr:from>
    <xdr:to>
      <xdr:col>14</xdr:col>
      <xdr:colOff>101600</xdr:colOff>
      <xdr:row>23</xdr:row>
      <xdr:rowOff>76200</xdr:rowOff>
    </xdr:to>
    <xdr:grpSp>
      <xdr:nvGrpSpPr>
        <xdr:cNvPr id="58" name="Group 57">
          <a:extLst>
            <a:ext uri="{FF2B5EF4-FFF2-40B4-BE49-F238E27FC236}">
              <a16:creationId xmlns:a16="http://schemas.microsoft.com/office/drawing/2014/main" id="{EFDDE355-355C-02EE-398F-A01456E2CB57}"/>
            </a:ext>
          </a:extLst>
        </xdr:cNvPr>
        <xdr:cNvGrpSpPr/>
      </xdr:nvGrpSpPr>
      <xdr:grpSpPr>
        <a:xfrm>
          <a:off x="5937250" y="3460750"/>
          <a:ext cx="2698750" cy="850900"/>
          <a:chOff x="6654800" y="3524250"/>
          <a:chExt cx="2698750" cy="850900"/>
        </a:xfrm>
      </xdr:grpSpPr>
      <xdr:sp macro="" textlink="">
        <xdr:nvSpPr>
          <xdr:cNvPr id="7" name="Rectangle: Rounded Corners 6">
            <a:extLst>
              <a:ext uri="{FF2B5EF4-FFF2-40B4-BE49-F238E27FC236}">
                <a16:creationId xmlns:a16="http://schemas.microsoft.com/office/drawing/2014/main" id="{C8F907C7-CC63-D189-E4AC-F2B387A656B6}"/>
              </a:ext>
            </a:extLst>
          </xdr:cNvPr>
          <xdr:cNvSpPr/>
        </xdr:nvSpPr>
        <xdr:spPr>
          <a:xfrm>
            <a:off x="6654800" y="3524250"/>
            <a:ext cx="2698750" cy="8509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pic>
        <xdr:nvPicPr>
          <xdr:cNvPr id="33" name="Graphic 32" descr="Business Growth with solid fill">
            <a:extLst>
              <a:ext uri="{FF2B5EF4-FFF2-40B4-BE49-F238E27FC236}">
                <a16:creationId xmlns:a16="http://schemas.microsoft.com/office/drawing/2014/main" id="{B616DE10-9EEF-ACA5-8705-B9530349604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769100" y="3613150"/>
            <a:ext cx="914400" cy="717550"/>
          </a:xfrm>
          <a:prstGeom prst="rect">
            <a:avLst/>
          </a:prstGeom>
        </xdr:spPr>
      </xdr:pic>
      <xdr:sp macro="" textlink="">
        <xdr:nvSpPr>
          <xdr:cNvPr id="40" name="TextBox 39">
            <a:extLst>
              <a:ext uri="{FF2B5EF4-FFF2-40B4-BE49-F238E27FC236}">
                <a16:creationId xmlns:a16="http://schemas.microsoft.com/office/drawing/2014/main" id="{975EAD5F-BDBD-DCDE-AE86-D213400323C2}"/>
              </a:ext>
            </a:extLst>
          </xdr:cNvPr>
          <xdr:cNvSpPr txBox="1"/>
        </xdr:nvSpPr>
        <xdr:spPr>
          <a:xfrm>
            <a:off x="7835900" y="3975100"/>
            <a:ext cx="1397000" cy="336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accent1"/>
                </a:solidFill>
                <a:effectLst/>
                <a:latin typeface="+mn-lt"/>
                <a:ea typeface="+mn-ea"/>
                <a:cs typeface="+mn-cs"/>
              </a:rPr>
              <a:t>           </a:t>
            </a:r>
            <a:r>
              <a:rPr lang="en-US" sz="1400" b="1" i="0" u="none" strike="noStrike">
                <a:solidFill>
                  <a:schemeClr val="accent1"/>
                </a:solidFill>
                <a:effectLst/>
                <a:latin typeface="+mn-lt"/>
                <a:ea typeface="+mn-ea"/>
                <a:cs typeface="+mn-cs"/>
              </a:rPr>
              <a:t>₦ 125.49 M</a:t>
            </a:r>
            <a:r>
              <a:rPr lang="en-US" sz="1800" b="1">
                <a:solidFill>
                  <a:schemeClr val="accent1"/>
                </a:solidFill>
                <a:effectLst/>
              </a:rPr>
              <a:t> </a:t>
            </a:r>
            <a:endParaRPr lang="en-US" sz="1100" b="1">
              <a:solidFill>
                <a:schemeClr val="accent1"/>
              </a:solidFill>
            </a:endParaRPr>
          </a:p>
        </xdr:txBody>
      </xdr:sp>
      <xdr:sp macro="" textlink="">
        <xdr:nvSpPr>
          <xdr:cNvPr id="43" name="TextBox 42">
            <a:extLst>
              <a:ext uri="{FF2B5EF4-FFF2-40B4-BE49-F238E27FC236}">
                <a16:creationId xmlns:a16="http://schemas.microsoft.com/office/drawing/2014/main" id="{9FF45681-22B8-CFC4-6B17-1122C373365F}"/>
              </a:ext>
            </a:extLst>
          </xdr:cNvPr>
          <xdr:cNvSpPr txBox="1"/>
        </xdr:nvSpPr>
        <xdr:spPr>
          <a:xfrm>
            <a:off x="7626350" y="3651250"/>
            <a:ext cx="1638300"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   Total Revenue</a:t>
            </a:r>
          </a:p>
        </xdr:txBody>
      </xdr:sp>
    </xdr:grpSp>
    <xdr:clientData/>
  </xdr:twoCellAnchor>
  <xdr:twoCellAnchor>
    <xdr:from>
      <xdr:col>14</xdr:col>
      <xdr:colOff>304800</xdr:colOff>
      <xdr:row>12</xdr:row>
      <xdr:rowOff>158750</xdr:rowOff>
    </xdr:from>
    <xdr:to>
      <xdr:col>18</xdr:col>
      <xdr:colOff>565150</xdr:colOff>
      <xdr:row>17</xdr:row>
      <xdr:rowOff>88900</xdr:rowOff>
    </xdr:to>
    <xdr:grpSp>
      <xdr:nvGrpSpPr>
        <xdr:cNvPr id="59" name="Group 58">
          <a:extLst>
            <a:ext uri="{FF2B5EF4-FFF2-40B4-BE49-F238E27FC236}">
              <a16:creationId xmlns:a16="http://schemas.microsoft.com/office/drawing/2014/main" id="{D1207A58-0086-56FF-C6D1-2AAE85793890}"/>
            </a:ext>
          </a:extLst>
        </xdr:cNvPr>
        <xdr:cNvGrpSpPr/>
      </xdr:nvGrpSpPr>
      <xdr:grpSpPr>
        <a:xfrm>
          <a:off x="8839200" y="2368550"/>
          <a:ext cx="2698750" cy="850900"/>
          <a:chOff x="9626600" y="2400300"/>
          <a:chExt cx="2698750" cy="850900"/>
        </a:xfrm>
      </xdr:grpSpPr>
      <xdr:sp macro="" textlink="">
        <xdr:nvSpPr>
          <xdr:cNvPr id="12" name="Rectangle: Rounded Corners 11">
            <a:extLst>
              <a:ext uri="{FF2B5EF4-FFF2-40B4-BE49-F238E27FC236}">
                <a16:creationId xmlns:a16="http://schemas.microsoft.com/office/drawing/2014/main" id="{7F36A84E-E849-978E-543D-4FCA6498DE89}"/>
              </a:ext>
            </a:extLst>
          </xdr:cNvPr>
          <xdr:cNvSpPr/>
        </xdr:nvSpPr>
        <xdr:spPr>
          <a:xfrm>
            <a:off x="9626600" y="2400300"/>
            <a:ext cx="2698750" cy="8509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24" name="TextBox 23">
            <a:extLst>
              <a:ext uri="{FF2B5EF4-FFF2-40B4-BE49-F238E27FC236}">
                <a16:creationId xmlns:a16="http://schemas.microsoft.com/office/drawing/2014/main" id="{37FECE4E-23FC-3859-E3E2-ED19EE8DE45A}"/>
              </a:ext>
            </a:extLst>
          </xdr:cNvPr>
          <xdr:cNvSpPr txBox="1"/>
        </xdr:nvSpPr>
        <xdr:spPr>
          <a:xfrm>
            <a:off x="10966450" y="2895600"/>
            <a:ext cx="1333500" cy="336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400" b="1" i="0" u="none" strike="noStrike">
                <a:solidFill>
                  <a:schemeClr val="accent1"/>
                </a:solidFill>
                <a:effectLst/>
                <a:latin typeface="+mn-lt"/>
                <a:ea typeface="+mn-ea"/>
                <a:cs typeface="+mn-cs"/>
              </a:rPr>
              <a:t>₦ 33.99 M</a:t>
            </a:r>
            <a:r>
              <a:rPr lang="en-US" sz="1400" b="1">
                <a:solidFill>
                  <a:schemeClr val="accent1"/>
                </a:solidFill>
                <a:effectLst/>
              </a:rPr>
              <a:t> </a:t>
            </a:r>
            <a:r>
              <a:rPr lang="en-US" sz="1400" b="1" i="0" u="none" strike="noStrike">
                <a:solidFill>
                  <a:schemeClr val="accent1"/>
                </a:solidFill>
                <a:effectLst/>
                <a:latin typeface="+mn-lt"/>
                <a:ea typeface="+mn-ea"/>
                <a:cs typeface="+mn-cs"/>
              </a:rPr>
              <a:t> </a:t>
            </a:r>
            <a:endParaRPr lang="en-US" sz="1100" b="1">
              <a:solidFill>
                <a:schemeClr val="accent1"/>
              </a:solidFill>
            </a:endParaRPr>
          </a:p>
        </xdr:txBody>
      </xdr:sp>
      <xdr:sp macro="" textlink="">
        <xdr:nvSpPr>
          <xdr:cNvPr id="25" name="TextBox 24">
            <a:extLst>
              <a:ext uri="{FF2B5EF4-FFF2-40B4-BE49-F238E27FC236}">
                <a16:creationId xmlns:a16="http://schemas.microsoft.com/office/drawing/2014/main" id="{10745294-D391-C77A-7E51-28F46178C3E8}"/>
              </a:ext>
            </a:extLst>
          </xdr:cNvPr>
          <xdr:cNvSpPr txBox="1"/>
        </xdr:nvSpPr>
        <xdr:spPr>
          <a:xfrm>
            <a:off x="10483850" y="2489200"/>
            <a:ext cx="1784350"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             Total Profit</a:t>
            </a:r>
          </a:p>
        </xdr:txBody>
      </xdr:sp>
      <xdr:pic>
        <xdr:nvPicPr>
          <xdr:cNvPr id="47" name="Graphic 46" descr="Dollar with solid fill">
            <a:extLst>
              <a:ext uri="{FF2B5EF4-FFF2-40B4-BE49-F238E27FC236}">
                <a16:creationId xmlns:a16="http://schemas.microsoft.com/office/drawing/2014/main" id="{5E317B8F-5AF1-7E9C-4B4C-47851F7F971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848850" y="2508250"/>
            <a:ext cx="615950" cy="558800"/>
          </a:xfrm>
          <a:prstGeom prst="rect">
            <a:avLst/>
          </a:prstGeom>
        </xdr:spPr>
      </xdr:pic>
    </xdr:grpSp>
    <xdr:clientData/>
  </xdr:twoCellAnchor>
  <xdr:twoCellAnchor>
    <xdr:from>
      <xdr:col>14</xdr:col>
      <xdr:colOff>304800</xdr:colOff>
      <xdr:row>18</xdr:row>
      <xdr:rowOff>146050</xdr:rowOff>
    </xdr:from>
    <xdr:to>
      <xdr:col>18</xdr:col>
      <xdr:colOff>565150</xdr:colOff>
      <xdr:row>23</xdr:row>
      <xdr:rowOff>76200</xdr:rowOff>
    </xdr:to>
    <xdr:grpSp>
      <xdr:nvGrpSpPr>
        <xdr:cNvPr id="60" name="Group 59">
          <a:extLst>
            <a:ext uri="{FF2B5EF4-FFF2-40B4-BE49-F238E27FC236}">
              <a16:creationId xmlns:a16="http://schemas.microsoft.com/office/drawing/2014/main" id="{FA0E17DD-B7DA-2FDA-CDCD-AC9429DE68E7}"/>
            </a:ext>
          </a:extLst>
        </xdr:cNvPr>
        <xdr:cNvGrpSpPr/>
      </xdr:nvGrpSpPr>
      <xdr:grpSpPr>
        <a:xfrm>
          <a:off x="8839200" y="3460750"/>
          <a:ext cx="2698750" cy="850900"/>
          <a:chOff x="9626600" y="3524250"/>
          <a:chExt cx="2698750" cy="850900"/>
        </a:xfrm>
      </xdr:grpSpPr>
      <xdr:sp macro="" textlink="">
        <xdr:nvSpPr>
          <xdr:cNvPr id="14" name="Rectangle: Rounded Corners 13">
            <a:extLst>
              <a:ext uri="{FF2B5EF4-FFF2-40B4-BE49-F238E27FC236}">
                <a16:creationId xmlns:a16="http://schemas.microsoft.com/office/drawing/2014/main" id="{0CA2393F-AC85-49C4-F6B1-A5678586B988}"/>
              </a:ext>
            </a:extLst>
          </xdr:cNvPr>
          <xdr:cNvSpPr/>
        </xdr:nvSpPr>
        <xdr:spPr>
          <a:xfrm>
            <a:off x="9626600" y="3524250"/>
            <a:ext cx="2698750" cy="8509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sp macro="" textlink="">
        <xdr:nvSpPr>
          <xdr:cNvPr id="48" name="TextBox 47">
            <a:extLst>
              <a:ext uri="{FF2B5EF4-FFF2-40B4-BE49-F238E27FC236}">
                <a16:creationId xmlns:a16="http://schemas.microsoft.com/office/drawing/2014/main" id="{B05CDD78-362E-DF5C-CEFA-D742AAE70BBC}"/>
              </a:ext>
            </a:extLst>
          </xdr:cNvPr>
          <xdr:cNvSpPr txBox="1"/>
        </xdr:nvSpPr>
        <xdr:spPr>
          <a:xfrm>
            <a:off x="10814050" y="3962400"/>
            <a:ext cx="14859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accent1"/>
                </a:solidFill>
                <a:effectLst/>
                <a:latin typeface="+mn-lt"/>
                <a:ea typeface="+mn-ea"/>
                <a:cs typeface="+mn-cs"/>
              </a:rPr>
              <a:t>           ₦ 627.47 K</a:t>
            </a:r>
            <a:r>
              <a:rPr lang="en-US" sz="1400" b="1">
                <a:solidFill>
                  <a:schemeClr val="accent1"/>
                </a:solidFill>
                <a:effectLst/>
              </a:rPr>
              <a:t> </a:t>
            </a:r>
            <a:endParaRPr lang="en-US" sz="1400" b="1">
              <a:solidFill>
                <a:schemeClr val="accent1"/>
              </a:solidFill>
            </a:endParaRPr>
          </a:p>
        </xdr:txBody>
      </xdr:sp>
      <xdr:sp macro="" textlink="">
        <xdr:nvSpPr>
          <xdr:cNvPr id="49" name="TextBox 48">
            <a:extLst>
              <a:ext uri="{FF2B5EF4-FFF2-40B4-BE49-F238E27FC236}">
                <a16:creationId xmlns:a16="http://schemas.microsoft.com/office/drawing/2014/main" id="{E099D829-F893-1DB7-ED77-5DB86FCAFE41}"/>
              </a:ext>
            </a:extLst>
          </xdr:cNvPr>
          <xdr:cNvSpPr txBox="1"/>
        </xdr:nvSpPr>
        <xdr:spPr>
          <a:xfrm>
            <a:off x="10414000" y="3581400"/>
            <a:ext cx="186055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t>
            </a:r>
            <a:r>
              <a:rPr lang="en-US" sz="1400" b="1"/>
              <a:t>Average Order value</a:t>
            </a:r>
            <a:endParaRPr lang="en-US" sz="1200" b="1"/>
          </a:p>
        </xdr:txBody>
      </xdr:sp>
      <xdr:pic>
        <xdr:nvPicPr>
          <xdr:cNvPr id="51" name="Graphic 50" descr="Coins with solid fill">
            <a:extLst>
              <a:ext uri="{FF2B5EF4-FFF2-40B4-BE49-F238E27FC236}">
                <a16:creationId xmlns:a16="http://schemas.microsoft.com/office/drawing/2014/main" id="{F105CE35-FE7D-C945-C245-D3E2F12A830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766300" y="3606800"/>
            <a:ext cx="806450" cy="717550"/>
          </a:xfrm>
          <a:prstGeom prst="rect">
            <a:avLst/>
          </a:prstGeom>
        </xdr:spPr>
      </xdr:pic>
    </xdr:grpSp>
    <xdr:clientData/>
  </xdr:twoCellAnchor>
  <xdr:twoCellAnchor>
    <xdr:from>
      <xdr:col>0</xdr:col>
      <xdr:colOff>107950</xdr:colOff>
      <xdr:row>0</xdr:row>
      <xdr:rowOff>63500</xdr:rowOff>
    </xdr:from>
    <xdr:to>
      <xdr:col>2</xdr:col>
      <xdr:colOff>241300</xdr:colOff>
      <xdr:row>3</xdr:row>
      <xdr:rowOff>63500</xdr:rowOff>
    </xdr:to>
    <xdr:sp macro="" textlink="">
      <xdr:nvSpPr>
        <xdr:cNvPr id="52" name="Rectangle: Rounded Corners 51">
          <a:extLst>
            <a:ext uri="{FF2B5EF4-FFF2-40B4-BE49-F238E27FC236}">
              <a16:creationId xmlns:a16="http://schemas.microsoft.com/office/drawing/2014/main" id="{AD570D0F-3F4A-9F38-CE79-036A4696AC82}"/>
            </a:ext>
          </a:extLst>
        </xdr:cNvPr>
        <xdr:cNvSpPr/>
      </xdr:nvSpPr>
      <xdr:spPr>
        <a:xfrm>
          <a:off x="107950" y="63500"/>
          <a:ext cx="1352550" cy="5524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374650</xdr:colOff>
      <xdr:row>0</xdr:row>
      <xdr:rowOff>95250</xdr:rowOff>
    </xdr:from>
    <xdr:to>
      <xdr:col>5</xdr:col>
      <xdr:colOff>127000</xdr:colOff>
      <xdr:row>3</xdr:row>
      <xdr:rowOff>95250</xdr:rowOff>
    </xdr:to>
    <xdr:sp macro="" textlink="">
      <xdr:nvSpPr>
        <xdr:cNvPr id="53" name="Rectangle: Rounded Corners 52">
          <a:extLst>
            <a:ext uri="{FF2B5EF4-FFF2-40B4-BE49-F238E27FC236}">
              <a16:creationId xmlns:a16="http://schemas.microsoft.com/office/drawing/2014/main" id="{2EF158F5-6FB1-78D3-9B4A-11D444B54BD4}"/>
            </a:ext>
          </a:extLst>
        </xdr:cNvPr>
        <xdr:cNvSpPr/>
      </xdr:nvSpPr>
      <xdr:spPr>
        <a:xfrm>
          <a:off x="1593850" y="95250"/>
          <a:ext cx="1581150" cy="55245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171450</xdr:colOff>
      <xdr:row>0</xdr:row>
      <xdr:rowOff>158750</xdr:rowOff>
    </xdr:from>
    <xdr:to>
      <xdr:col>2</xdr:col>
      <xdr:colOff>158750</xdr:colOff>
      <xdr:row>3</xdr:row>
      <xdr:rowOff>12700</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0220405-5B32-7F88-88D0-3A2DAFDDB12E}"/>
            </a:ext>
          </a:extLst>
        </xdr:cNvPr>
        <xdr:cNvSpPr txBox="1"/>
      </xdr:nvSpPr>
      <xdr:spPr>
        <a:xfrm>
          <a:off x="171450" y="158750"/>
          <a:ext cx="1206500" cy="40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1"/>
              </a:solidFill>
            </a:rPr>
            <a:t>Pivot</a:t>
          </a:r>
          <a:r>
            <a:rPr lang="en-US" sz="1600" b="1" baseline="0">
              <a:solidFill>
                <a:schemeClr val="accent1"/>
              </a:solidFill>
            </a:rPr>
            <a:t> Table</a:t>
          </a:r>
          <a:endParaRPr lang="en-US" sz="1100" b="1">
            <a:solidFill>
              <a:schemeClr val="accent1"/>
            </a:solidFill>
          </a:endParaRPr>
        </a:p>
      </xdr:txBody>
    </xdr:sp>
    <xdr:clientData/>
  </xdr:twoCellAnchor>
  <xdr:twoCellAnchor>
    <xdr:from>
      <xdr:col>2</xdr:col>
      <xdr:colOff>438150</xdr:colOff>
      <xdr:row>0</xdr:row>
      <xdr:rowOff>165100</xdr:rowOff>
    </xdr:from>
    <xdr:to>
      <xdr:col>5</xdr:col>
      <xdr:colOff>50800</xdr:colOff>
      <xdr:row>3</xdr:row>
      <xdr:rowOff>44450</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6C2FB013-7634-B36E-FD17-56AB5389C0B4}"/>
            </a:ext>
          </a:extLst>
        </xdr:cNvPr>
        <xdr:cNvSpPr txBox="1"/>
      </xdr:nvSpPr>
      <xdr:spPr>
        <a:xfrm>
          <a:off x="1657350" y="165100"/>
          <a:ext cx="1441450" cy="43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solidFill>
            </a:rPr>
            <a:t>Sales Data</a:t>
          </a:r>
          <a:endParaRPr lang="en-US" sz="1100" b="1">
            <a:solidFill>
              <a:schemeClr val="accent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2.514971990742" createdVersion="8" refreshedVersion="8" minRefreshableVersion="3" recordCount="200" xr:uid="{FFF7E0C0-6CD2-4BDF-A339-D09523A6D746}">
  <cacheSource type="worksheet">
    <worksheetSource name="Table1"/>
  </cacheSource>
  <cacheFields count="22">
    <cacheField name="Order_ID" numFmtId="0">
      <sharedItems containsSemiMixedTypes="0" containsString="0" containsNumber="1" containsInteger="1" minValue="10001" maxValue="10200"/>
    </cacheField>
    <cacheField name="Customer_ID" numFmtId="0">
      <sharedItems/>
    </cacheField>
    <cacheField name="Customer_Name" numFmtId="0">
      <sharedItems/>
    </cacheField>
    <cacheField name="Product_Name" numFmtId="0">
      <sharedItems count="20">
        <s v="HP LaserJet Printer"/>
        <s v="iPhone 15 Pro"/>
        <s v="Samsung 65&quot; QLED TV"/>
        <s v="Refrigerator 250L"/>
        <s v="Mechanical Keyboard"/>
        <s v="Office Chair Ergonomic"/>
        <s v="USB-C Hub"/>
        <s v="Women's Handbag Leather"/>
        <s v="Sofa Set 3-Seater"/>
        <s v="Wrist Watch Casio"/>
        <s v="Laptop Dell XPS 13"/>
        <s v="Dining Table Set"/>
        <s v="Backpack Laptop"/>
        <s v="Men's Formal Shoes"/>
        <s v="Standing Desk"/>
        <s v="Wireless Mouse Logitech"/>
        <s v="Blender Philips"/>
        <s v="Microwave Oven"/>
        <s v="AirPods Pro"/>
        <s v="Electric Kettle"/>
      </sharedItems>
    </cacheField>
    <cacheField name="Category" numFmtId="0">
      <sharedItems count="5">
        <s v="Electronics"/>
        <s v="Appliances"/>
        <s v="Accessories"/>
        <s v="Furniture"/>
        <s v="Fashion"/>
      </sharedItems>
    </cacheField>
    <cacheField name="Quantity" numFmtId="1">
      <sharedItems containsSemiMixedTypes="0" containsString="0" containsNumber="1" containsInteger="1" minValue="1" maxValue="5"/>
    </cacheField>
    <cacheField name="Unit_Price_NGN" numFmtId="165">
      <sharedItems containsSemiMixedTypes="0" containsString="0" containsNumber="1" containsInteger="1" minValue="11447" maxValue="997113"/>
    </cacheField>
    <cacheField name="Discount_Percent" numFmtId="9">
      <sharedItems containsSemiMixedTypes="0" containsString="0" containsNumber="1" containsInteger="1" minValue="0" maxValue="10"/>
    </cacheField>
    <cacheField name="Discount_Amount_NGN" numFmtId="165">
      <sharedItems containsSemiMixedTypes="0" containsString="0" containsNumber="1" containsInteger="1" minValue="0" maxValue="364859"/>
    </cacheField>
    <cacheField name="Total_Sales_NGN" numFmtId="165">
      <sharedItems containsSemiMixedTypes="0" containsString="0" containsNumber="1" containsInteger="1" minValue="10905" maxValue="4091300"/>
    </cacheField>
    <cacheField name="Total_Cost_NGN" numFmtId="165">
      <sharedItems containsSemiMixedTypes="0" containsString="0" containsNumber="1" containsInteger="1" minValue="6500" maxValue="3250000"/>
    </cacheField>
    <cacheField name="Profit_NGN" numFmtId="165">
      <sharedItems containsSemiMixedTypes="0" containsString="0" containsNumber="1" containsInteger="1" minValue="4979" maxValue="1020875"/>
    </cacheField>
    <cacheField name="Order_Date" numFmtId="164">
      <sharedItems containsSemiMixedTypes="0" containsNonDate="0" containsDate="1" containsString="0" minDate="2024-11-02T00:00:00" maxDate="2025-05-01T00:00:00" count="122">
        <d v="2024-11-02T00:00:00"/>
        <d v="2024-11-05T00:00:00"/>
        <d v="2024-11-07T00:00:00"/>
        <d v="2024-11-08T00:00:00"/>
        <d v="2024-11-09T00:00:00"/>
        <d v="2024-11-10T00:00:00"/>
        <d v="2024-11-11T00:00:00"/>
        <d v="2024-11-12T00:00:00"/>
        <d v="2024-11-14T00:00:00"/>
        <d v="2024-11-15T00:00:00"/>
        <d v="2024-11-18T00:00:00"/>
        <d v="2024-11-19T00:00:00"/>
        <d v="2024-11-20T00:00:00"/>
        <d v="2024-11-21T00:00:00"/>
        <d v="2024-11-22T00:00:00"/>
        <d v="2024-11-23T00:00:00"/>
        <d v="2024-11-24T00:00:00"/>
        <d v="2024-11-25T00:00:00"/>
        <d v="2024-11-26T00:00:00"/>
        <d v="2024-11-27T00:00:00"/>
        <d v="2024-11-28T00:00:00"/>
        <d v="2024-11-29T00:00:00"/>
        <d v="2024-12-01T00:00:00"/>
        <d v="2024-12-02T00:00:00"/>
        <d v="2024-12-03T00:00:00"/>
        <d v="2024-12-06T00:00:00"/>
        <d v="2024-12-07T00:00:00"/>
        <d v="2024-12-10T00:00:00"/>
        <d v="2024-12-11T00:00:00"/>
        <d v="2024-12-12T00:00:00"/>
        <d v="2024-12-15T00:00:00"/>
        <d v="2024-12-16T00:00:00"/>
        <d v="2024-12-19T00:00:00"/>
        <d v="2024-12-21T00:00:00"/>
        <d v="2024-12-23T00:00:00"/>
        <d v="2024-12-24T00:00:00"/>
        <d v="2024-12-27T00:00:00"/>
        <d v="2024-12-29T00:00:00"/>
        <d v="2024-12-30T00:00:00"/>
        <d v="2024-12-31T00:00:00"/>
        <d v="2025-01-01T00:00:00"/>
        <d v="2025-01-02T00:00:00"/>
        <d v="2025-01-03T00:00:00"/>
        <d v="2025-01-08T00:00:00"/>
        <d v="2025-01-10T00:00:00"/>
        <d v="2025-01-11T00:00:00"/>
        <d v="2025-01-12T00:00:00"/>
        <d v="2025-01-13T00:00:00"/>
        <d v="2025-01-14T00:00:00"/>
        <d v="2025-01-15T00:00:00"/>
        <d v="2025-01-16T00:00:00"/>
        <d v="2025-01-17T00:00:00"/>
        <d v="2025-01-18T00:00:00"/>
        <d v="2025-01-22T00:00:00"/>
        <d v="2025-01-24T00:00:00"/>
        <d v="2025-01-25T00:00:00"/>
        <d v="2025-01-26T00:00:00"/>
        <d v="2025-01-27T00:00:00"/>
        <d v="2025-01-28T00:00:00"/>
        <d v="2025-01-29T00:00:00"/>
        <d v="2025-01-30T00:00:00"/>
        <d v="2025-01-31T00:00:00"/>
        <d v="2025-02-01T00:00:00"/>
        <d v="2025-02-02T00:00:00"/>
        <d v="2025-02-03T00:00:00"/>
        <d v="2025-02-04T00:00:00"/>
        <d v="2025-02-06T00:00:00"/>
        <d v="2025-02-07T00:00:00"/>
        <d v="2025-02-11T00:00:00"/>
        <d v="2025-02-12T00:00:00"/>
        <d v="2025-02-14T00:00:00"/>
        <d v="2025-02-15T00:00:00"/>
        <d v="2025-02-16T00:00:00"/>
        <d v="2025-02-17T00:00:00"/>
        <d v="2025-02-18T00:00:00"/>
        <d v="2025-02-19T00:00:00"/>
        <d v="2025-02-21T00:00:00"/>
        <d v="2025-02-22T00:00:00"/>
        <d v="2025-02-25T00:00:00"/>
        <d v="2025-02-28T00:00:00"/>
        <d v="2025-03-03T00:00:00"/>
        <d v="2025-03-04T00:00:00"/>
        <d v="2025-03-06T00:00:00"/>
        <d v="2025-03-07T00:00:00"/>
        <d v="2025-03-08T00:00:00"/>
        <d v="2025-03-09T00:00:00"/>
        <d v="2025-03-10T00:00:00"/>
        <d v="2025-03-11T00:00:00"/>
        <d v="2025-03-12T00:00:00"/>
        <d v="2025-03-15T00:00:00"/>
        <d v="2025-03-16T00:00:00"/>
        <d v="2025-03-17T00:00:00"/>
        <d v="2025-03-18T00:00:00"/>
        <d v="2025-03-19T00:00:00"/>
        <d v="2025-03-21T00:00:00"/>
        <d v="2025-03-22T00:00:00"/>
        <d v="2025-03-24T00:00:00"/>
        <d v="2025-03-26T00:00:00"/>
        <d v="2025-03-28T00:00:00"/>
        <d v="2025-03-29T00:00:00"/>
        <d v="2025-03-31T00:00:00"/>
        <d v="2025-04-02T00:00:00"/>
        <d v="2025-04-04T00:00:00"/>
        <d v="2025-04-05T00:00:00"/>
        <d v="2025-04-07T00:00:00"/>
        <d v="2025-04-08T00:00:00"/>
        <d v="2025-04-09T00:00:00"/>
        <d v="2025-04-10T00:00:00"/>
        <d v="2025-04-13T00:00:00"/>
        <d v="2025-04-14T00:00:00"/>
        <d v="2025-04-16T00:00:00"/>
        <d v="2025-04-17T00:00:00"/>
        <d v="2025-04-19T00:00:00"/>
        <d v="2025-04-20T00:00:00"/>
        <d v="2025-04-21T00:00:00"/>
        <d v="2025-04-22T00:00:00"/>
        <d v="2025-04-23T00:00:00"/>
        <d v="2025-04-24T00:00:00"/>
        <d v="2025-04-26T00:00:00"/>
        <d v="2025-04-27T00:00:00"/>
        <d v="2025-04-29T00:00:00"/>
        <d v="2025-04-30T00:00:00"/>
      </sharedItems>
    </cacheField>
    <cacheField name="Ship_Date" numFmtId="164">
      <sharedItems containsSemiMixedTypes="0" containsNonDate="0" containsDate="1" containsString="0" minDate="2024-11-05T00:00:00" maxDate="2025-05-05T00:00:00"/>
    </cacheField>
    <cacheField name="Region" numFmtId="0">
      <sharedItems count="7">
        <s v="Kano"/>
        <s v="Kaduna"/>
        <s v="Lagos"/>
        <s v="Abuja"/>
        <s v="Port Harcourt"/>
        <s v="Ibadan"/>
        <s v="Enugu"/>
      </sharedItems>
    </cacheField>
    <cacheField name="Customer_Segment" numFmtId="0">
      <sharedItems count="4">
        <s v="SME"/>
        <s v="Individual"/>
        <s v="Corporate"/>
        <s v="Government"/>
      </sharedItems>
    </cacheField>
    <cacheField name="Sales_Channel" numFmtId="0">
      <sharedItems count="5">
        <s v="Jumia"/>
        <s v="WhatsApp"/>
        <s v="Jiji"/>
        <s v="Online"/>
        <s v="In-Store"/>
      </sharedItems>
    </cacheField>
    <cacheField name="Payment_Method" numFmtId="0">
      <sharedItems count="5">
        <s v="Credit Card"/>
        <s v="Bank Transfer"/>
        <s v="Cash on Delivery"/>
        <s v="POS"/>
        <s v="Paystack"/>
      </sharedItems>
    </cacheField>
    <cacheField name="Sales_Rep" numFmtId="0">
      <sharedItems count="5">
        <s v="Ahmed Bello"/>
        <s v="Chinyere Okafor"/>
        <s v="Tolu James"/>
        <s v="Emeka Udo"/>
        <s v="Ngozi Okon"/>
      </sharedItems>
    </cacheField>
    <cacheField name="Day" numFmtId="0">
      <sharedItems/>
    </cacheField>
    <cacheField name="Month" numFmtId="0">
      <sharedItems count="6">
        <s v="Nov"/>
        <s v="Dec"/>
        <s v="Jan"/>
        <s v="Feb"/>
        <s v="Mar"/>
        <s v="Apr"/>
      </sharedItems>
    </cacheField>
    <cacheField name="Year" numFmtId="0">
      <sharedItems containsSemiMixedTypes="0" containsString="0" containsNumber="1" containsInteger="1" minValue="2024" maxValue="2025"/>
    </cacheField>
  </cacheFields>
  <extLst>
    <ext xmlns:x14="http://schemas.microsoft.com/office/spreadsheetml/2009/9/main" uri="{725AE2AE-9491-48be-B2B4-4EB974FC3084}">
      <x14:pivotCacheDefinition pivotCacheId="1200824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0181"/>
    <s v="CUST-2562"/>
    <s v="Mercy Chukwu"/>
    <x v="0"/>
    <x v="0"/>
    <n v="2"/>
    <n v="144673"/>
    <n v="0"/>
    <n v="0"/>
    <n v="289346"/>
    <n v="210000"/>
    <n v="79346"/>
    <x v="0"/>
    <d v="2024-11-05T00:00:00"/>
    <x v="0"/>
    <x v="0"/>
    <x v="0"/>
    <x v="0"/>
    <x v="0"/>
    <s v="Sat"/>
    <x v="0"/>
    <n v="2024"/>
  </r>
  <r>
    <n v="10138"/>
    <s v="CUST-8702"/>
    <s v="Idris Okoro"/>
    <x v="1"/>
    <x v="0"/>
    <n v="4"/>
    <n v="995699"/>
    <n v="0"/>
    <n v="0"/>
    <n v="3982796"/>
    <n v="3000000"/>
    <n v="982796"/>
    <x v="1"/>
    <d v="2024-11-08T00:00:00"/>
    <x v="1"/>
    <x v="1"/>
    <x v="1"/>
    <x v="1"/>
    <x v="1"/>
    <s v="Tue"/>
    <x v="0"/>
    <n v="2024"/>
  </r>
  <r>
    <n v="10132"/>
    <s v="CUST-8167"/>
    <s v="Aisha Ibrahim"/>
    <x v="2"/>
    <x v="0"/>
    <n v="2"/>
    <n v="742803"/>
    <n v="0"/>
    <n v="0"/>
    <n v="1485606"/>
    <n v="1100000"/>
    <n v="385606"/>
    <x v="2"/>
    <d v="2024-11-11T00:00:00"/>
    <x v="2"/>
    <x v="0"/>
    <x v="2"/>
    <x v="2"/>
    <x v="2"/>
    <s v="Thu"/>
    <x v="0"/>
    <n v="2024"/>
  </r>
  <r>
    <n v="10147"/>
    <s v="CUST-7521"/>
    <s v="Patience Akpan"/>
    <x v="3"/>
    <x v="1"/>
    <n v="3"/>
    <n v="311988"/>
    <n v="0"/>
    <n v="0"/>
    <n v="935964"/>
    <n v="720000"/>
    <n v="215964"/>
    <x v="2"/>
    <d v="2024-11-09T00:00:00"/>
    <x v="0"/>
    <x v="2"/>
    <x v="0"/>
    <x v="3"/>
    <x v="0"/>
    <s v="Thu"/>
    <x v="0"/>
    <n v="2024"/>
  </r>
  <r>
    <n v="10050"/>
    <s v="CUST-6733"/>
    <s v="Funke Alabi"/>
    <x v="4"/>
    <x v="2"/>
    <n v="1"/>
    <n v="35984"/>
    <n v="0"/>
    <n v="0"/>
    <n v="35984"/>
    <n v="20000"/>
    <n v="15984"/>
    <x v="3"/>
    <d v="2024-11-10T00:00:00"/>
    <x v="3"/>
    <x v="1"/>
    <x v="2"/>
    <x v="1"/>
    <x v="2"/>
    <s v="Fri"/>
    <x v="0"/>
    <n v="2024"/>
  </r>
  <r>
    <n v="10089"/>
    <s v="CUST-3240"/>
    <s v="Tope Balogun"/>
    <x v="5"/>
    <x v="3"/>
    <n v="1"/>
    <n v="83376"/>
    <n v="5"/>
    <n v="4169"/>
    <n v="79207"/>
    <n v="55000"/>
    <n v="28376"/>
    <x v="4"/>
    <d v="2024-11-14T00:00:00"/>
    <x v="4"/>
    <x v="0"/>
    <x v="3"/>
    <x v="0"/>
    <x v="0"/>
    <s v="Sat"/>
    <x v="0"/>
    <n v="2024"/>
  </r>
  <r>
    <n v="10177"/>
    <s v="CUST-1611"/>
    <s v="Hauwa Bello"/>
    <x v="0"/>
    <x v="0"/>
    <n v="4"/>
    <n v="150543"/>
    <n v="0"/>
    <n v="0"/>
    <n v="602172"/>
    <n v="420000"/>
    <n v="182172"/>
    <x v="5"/>
    <d v="2024-11-14T00:00:00"/>
    <x v="1"/>
    <x v="0"/>
    <x v="4"/>
    <x v="2"/>
    <x v="1"/>
    <s v="Sun"/>
    <x v="0"/>
    <n v="2024"/>
  </r>
  <r>
    <n v="10053"/>
    <s v="CUST-5941"/>
    <s v="Peter Obi"/>
    <x v="6"/>
    <x v="2"/>
    <n v="1"/>
    <n v="12355"/>
    <n v="10"/>
    <n v="1236"/>
    <n v="11119"/>
    <n v="6500"/>
    <n v="5855"/>
    <x v="6"/>
    <d v="2024-11-14T00:00:00"/>
    <x v="5"/>
    <x v="2"/>
    <x v="1"/>
    <x v="2"/>
    <x v="3"/>
    <s v="Mon"/>
    <x v="0"/>
    <n v="2024"/>
  </r>
  <r>
    <n v="10140"/>
    <s v="CUST-8498"/>
    <s v="Emeka Nwosu"/>
    <x v="1"/>
    <x v="0"/>
    <n v="3"/>
    <n v="921651"/>
    <n v="0"/>
    <n v="0"/>
    <n v="2764953"/>
    <n v="2250000"/>
    <n v="514953"/>
    <x v="6"/>
    <d v="2024-11-14T00:00:00"/>
    <x v="4"/>
    <x v="3"/>
    <x v="0"/>
    <x v="3"/>
    <x v="0"/>
    <s v="Mon"/>
    <x v="0"/>
    <n v="2024"/>
  </r>
  <r>
    <n v="10101"/>
    <s v="CUST-2786"/>
    <s v="Chibuzor Madu"/>
    <x v="7"/>
    <x v="4"/>
    <n v="5"/>
    <n v="17499"/>
    <n v="10"/>
    <n v="8750"/>
    <n v="78745"/>
    <n v="50000"/>
    <n v="37495"/>
    <x v="7"/>
    <d v="2024-11-17T00:00:00"/>
    <x v="4"/>
    <x v="2"/>
    <x v="3"/>
    <x v="2"/>
    <x v="4"/>
    <s v="Tue"/>
    <x v="0"/>
    <n v="2024"/>
  </r>
  <r>
    <n v="10162"/>
    <s v="CUST-5333"/>
    <s v="Yusuf Bello"/>
    <x v="8"/>
    <x v="3"/>
    <n v="4"/>
    <n v="276246"/>
    <n v="5"/>
    <n v="55249"/>
    <n v="1049735"/>
    <n v="760000"/>
    <n v="344984"/>
    <x v="8"/>
    <d v="2024-11-19T00:00:00"/>
    <x v="5"/>
    <x v="0"/>
    <x v="1"/>
    <x v="0"/>
    <x v="1"/>
    <s v="Thu"/>
    <x v="0"/>
    <n v="2024"/>
  </r>
  <r>
    <n v="10063"/>
    <s v="CUST-5658"/>
    <s v="Ebuka Onu"/>
    <x v="9"/>
    <x v="4"/>
    <n v="4"/>
    <n v="21869"/>
    <n v="0"/>
    <n v="0"/>
    <n v="87476"/>
    <n v="52000"/>
    <n v="35476"/>
    <x v="8"/>
    <d v="2024-11-17T00:00:00"/>
    <x v="1"/>
    <x v="2"/>
    <x v="3"/>
    <x v="2"/>
    <x v="4"/>
    <s v="Thu"/>
    <x v="0"/>
    <n v="2024"/>
  </r>
  <r>
    <n v="10062"/>
    <s v="CUST-5952"/>
    <s v="Chioma Nnaji"/>
    <x v="10"/>
    <x v="0"/>
    <n v="5"/>
    <n v="818260"/>
    <n v="0"/>
    <n v="0"/>
    <n v="4091300"/>
    <n v="3250000"/>
    <n v="841300"/>
    <x v="8"/>
    <d v="2024-11-19T00:00:00"/>
    <x v="4"/>
    <x v="2"/>
    <x v="0"/>
    <x v="0"/>
    <x v="1"/>
    <s v="Thu"/>
    <x v="0"/>
    <n v="2024"/>
  </r>
  <r>
    <n v="10124"/>
    <s v="CUST-5634"/>
    <s v="Patience Akpan"/>
    <x v="11"/>
    <x v="3"/>
    <n v="4"/>
    <n v="200352"/>
    <n v="10"/>
    <n v="80141"/>
    <n v="721267"/>
    <n v="520000"/>
    <n v="281408"/>
    <x v="8"/>
    <d v="2024-11-17T00:00:00"/>
    <x v="2"/>
    <x v="3"/>
    <x v="3"/>
    <x v="4"/>
    <x v="0"/>
    <s v="Thu"/>
    <x v="0"/>
    <n v="2024"/>
  </r>
  <r>
    <n v="10193"/>
    <s v="CUST-1724"/>
    <s v="Hauwa Bello"/>
    <x v="11"/>
    <x v="3"/>
    <n v="4"/>
    <n v="189820"/>
    <n v="0"/>
    <n v="0"/>
    <n v="759280"/>
    <n v="520000"/>
    <n v="239280"/>
    <x v="9"/>
    <d v="2024-11-17T00:00:00"/>
    <x v="5"/>
    <x v="0"/>
    <x v="4"/>
    <x v="4"/>
    <x v="3"/>
    <s v="Fri"/>
    <x v="0"/>
    <n v="2024"/>
  </r>
  <r>
    <n v="10105"/>
    <s v="CUST-5176"/>
    <s v="David Etim"/>
    <x v="8"/>
    <x v="3"/>
    <n v="2"/>
    <n v="285231"/>
    <n v="5"/>
    <n v="28523"/>
    <n v="541939"/>
    <n v="380000"/>
    <n v="190462"/>
    <x v="10"/>
    <d v="2024-11-19T00:00:00"/>
    <x v="1"/>
    <x v="3"/>
    <x v="3"/>
    <x v="1"/>
    <x v="1"/>
    <s v="Mon"/>
    <x v="0"/>
    <n v="2024"/>
  </r>
  <r>
    <n v="10013"/>
    <s v="CUST-4946"/>
    <s v="Funke Alabi"/>
    <x v="12"/>
    <x v="2"/>
    <n v="1"/>
    <n v="17254"/>
    <n v="5"/>
    <n v="863"/>
    <n v="16391"/>
    <n v="10000"/>
    <n v="7254"/>
    <x v="10"/>
    <d v="2024-11-23T00:00:00"/>
    <x v="1"/>
    <x v="3"/>
    <x v="4"/>
    <x v="0"/>
    <x v="3"/>
    <s v="Mon"/>
    <x v="0"/>
    <n v="2024"/>
  </r>
  <r>
    <n v="10040"/>
    <s v="CUST-1400"/>
    <s v="Aisha Ibrahim"/>
    <x v="1"/>
    <x v="0"/>
    <n v="2"/>
    <n v="995974"/>
    <n v="10"/>
    <n v="199195"/>
    <n v="1792753"/>
    <n v="1500000"/>
    <n v="491948"/>
    <x v="11"/>
    <d v="2024-11-23T00:00:00"/>
    <x v="0"/>
    <x v="3"/>
    <x v="4"/>
    <x v="3"/>
    <x v="4"/>
    <s v="Tue"/>
    <x v="0"/>
    <n v="2024"/>
  </r>
  <r>
    <n v="10102"/>
    <s v="CUST-7580"/>
    <s v="Bukola Saraki"/>
    <x v="13"/>
    <x v="4"/>
    <n v="1"/>
    <n v="24976"/>
    <n v="5"/>
    <n v="1249"/>
    <n v="23727"/>
    <n v="15000"/>
    <n v="9976"/>
    <x v="11"/>
    <d v="2024-11-20T00:00:00"/>
    <x v="4"/>
    <x v="2"/>
    <x v="4"/>
    <x v="3"/>
    <x v="2"/>
    <s v="Tue"/>
    <x v="0"/>
    <n v="2024"/>
  </r>
  <r>
    <n v="10016"/>
    <s v="CUST-1964"/>
    <s v="Emeka Nwosu"/>
    <x v="4"/>
    <x v="2"/>
    <n v="1"/>
    <n v="36419"/>
    <n v="0"/>
    <n v="0"/>
    <n v="36419"/>
    <n v="20000"/>
    <n v="16419"/>
    <x v="11"/>
    <d v="2024-11-24T00:00:00"/>
    <x v="3"/>
    <x v="1"/>
    <x v="0"/>
    <x v="4"/>
    <x v="3"/>
    <s v="Tue"/>
    <x v="0"/>
    <n v="2024"/>
  </r>
  <r>
    <n v="10121"/>
    <s v="CUST-8404"/>
    <s v="Abdulrahman Lawal"/>
    <x v="1"/>
    <x v="0"/>
    <n v="1"/>
    <n v="937530"/>
    <n v="0"/>
    <n v="0"/>
    <n v="937530"/>
    <n v="750000"/>
    <n v="187530"/>
    <x v="12"/>
    <d v="2024-11-21T00:00:00"/>
    <x v="5"/>
    <x v="3"/>
    <x v="2"/>
    <x v="3"/>
    <x v="4"/>
    <s v="Wed"/>
    <x v="0"/>
    <n v="2024"/>
  </r>
  <r>
    <n v="10004"/>
    <s v="CUST-5333"/>
    <s v="Obinna Umeh"/>
    <x v="1"/>
    <x v="0"/>
    <n v="4"/>
    <n v="953442"/>
    <n v="5"/>
    <n v="190688"/>
    <n v="3623080"/>
    <n v="3000000"/>
    <n v="813768"/>
    <x v="13"/>
    <d v="2024-11-26T00:00:00"/>
    <x v="4"/>
    <x v="1"/>
    <x v="1"/>
    <x v="3"/>
    <x v="1"/>
    <s v="Thu"/>
    <x v="0"/>
    <n v="2024"/>
  </r>
  <r>
    <n v="10134"/>
    <s v="CUST-8740"/>
    <s v="Halima Gambo"/>
    <x v="14"/>
    <x v="3"/>
    <n v="4"/>
    <n v="119383"/>
    <n v="0"/>
    <n v="0"/>
    <n v="477532"/>
    <n v="320000"/>
    <n v="157532"/>
    <x v="13"/>
    <d v="2024-11-22T00:00:00"/>
    <x v="4"/>
    <x v="3"/>
    <x v="4"/>
    <x v="0"/>
    <x v="1"/>
    <s v="Thu"/>
    <x v="0"/>
    <n v="2024"/>
  </r>
  <r>
    <n v="10155"/>
    <s v="CUST-6531"/>
    <s v="Ahmed Suleiman"/>
    <x v="12"/>
    <x v="2"/>
    <n v="1"/>
    <n v="18585"/>
    <n v="0"/>
    <n v="0"/>
    <n v="18585"/>
    <n v="10000"/>
    <n v="8585"/>
    <x v="13"/>
    <d v="2024-11-22T00:00:00"/>
    <x v="6"/>
    <x v="1"/>
    <x v="1"/>
    <x v="3"/>
    <x v="3"/>
    <s v="Thu"/>
    <x v="0"/>
    <n v="2024"/>
  </r>
  <r>
    <n v="10048"/>
    <s v="CUST-1441"/>
    <s v="Michael Ojo"/>
    <x v="11"/>
    <x v="3"/>
    <n v="5"/>
    <n v="196256"/>
    <n v="0"/>
    <n v="0"/>
    <n v="981280"/>
    <n v="650000"/>
    <n v="331280"/>
    <x v="14"/>
    <d v="2024-11-26T00:00:00"/>
    <x v="3"/>
    <x v="2"/>
    <x v="4"/>
    <x v="2"/>
    <x v="0"/>
    <s v="Fri"/>
    <x v="0"/>
    <n v="2024"/>
  </r>
  <r>
    <n v="10116"/>
    <s v="CUST-6321"/>
    <s v="Amaka Uzochukwu"/>
    <x v="0"/>
    <x v="0"/>
    <n v="5"/>
    <n v="144421"/>
    <n v="0"/>
    <n v="0"/>
    <n v="722105"/>
    <n v="525000"/>
    <n v="197105"/>
    <x v="15"/>
    <d v="2024-11-27T00:00:00"/>
    <x v="1"/>
    <x v="3"/>
    <x v="4"/>
    <x v="1"/>
    <x v="3"/>
    <s v="Sat"/>
    <x v="0"/>
    <n v="2024"/>
  </r>
  <r>
    <n v="10070"/>
    <s v="CUST-1653"/>
    <s v="Blessing Okonkwo"/>
    <x v="13"/>
    <x v="4"/>
    <n v="3"/>
    <n v="25259"/>
    <n v="0"/>
    <n v="0"/>
    <n v="75777"/>
    <n v="45000"/>
    <n v="30777"/>
    <x v="16"/>
    <d v="2024-11-26T00:00:00"/>
    <x v="6"/>
    <x v="2"/>
    <x v="2"/>
    <x v="3"/>
    <x v="0"/>
    <s v="Sun"/>
    <x v="0"/>
    <n v="2024"/>
  </r>
  <r>
    <n v="10097"/>
    <s v="CUST-5520"/>
    <s v="Mercy Chukwu"/>
    <x v="15"/>
    <x v="2"/>
    <n v="1"/>
    <n v="15674"/>
    <n v="5"/>
    <n v="784"/>
    <n v="14890"/>
    <n v="8000"/>
    <n v="7674"/>
    <x v="16"/>
    <d v="2024-11-26T00:00:00"/>
    <x v="6"/>
    <x v="2"/>
    <x v="3"/>
    <x v="3"/>
    <x v="0"/>
    <s v="Sun"/>
    <x v="0"/>
    <n v="2024"/>
  </r>
  <r>
    <n v="10028"/>
    <s v="CUST-5325"/>
    <s v="Kemi Ogunleye"/>
    <x v="16"/>
    <x v="1"/>
    <n v="4"/>
    <n v="34129"/>
    <n v="0"/>
    <n v="0"/>
    <n v="136516"/>
    <n v="88000"/>
    <n v="48516"/>
    <x v="16"/>
    <d v="2024-11-28T00:00:00"/>
    <x v="1"/>
    <x v="2"/>
    <x v="3"/>
    <x v="4"/>
    <x v="0"/>
    <s v="Sun"/>
    <x v="0"/>
    <n v="2024"/>
  </r>
  <r>
    <n v="10126"/>
    <s v="CUST-7171"/>
    <s v="Fatima Mohammed"/>
    <x v="3"/>
    <x v="1"/>
    <n v="2"/>
    <n v="325444"/>
    <n v="10"/>
    <n v="65089"/>
    <n v="585799"/>
    <n v="480000"/>
    <n v="170888"/>
    <x v="16"/>
    <d v="2024-11-28T00:00:00"/>
    <x v="5"/>
    <x v="0"/>
    <x v="3"/>
    <x v="4"/>
    <x v="0"/>
    <s v="Sun"/>
    <x v="0"/>
    <n v="2024"/>
  </r>
  <r>
    <n v="10017"/>
    <s v="CUST-8744"/>
    <s v="Yusuf Bello"/>
    <x v="4"/>
    <x v="2"/>
    <n v="4"/>
    <n v="36076"/>
    <n v="0"/>
    <n v="0"/>
    <n v="144304"/>
    <n v="80000"/>
    <n v="64304"/>
    <x v="17"/>
    <d v="2024-11-26T00:00:00"/>
    <x v="6"/>
    <x v="3"/>
    <x v="1"/>
    <x v="2"/>
    <x v="4"/>
    <s v="Mon"/>
    <x v="0"/>
    <n v="2024"/>
  </r>
  <r>
    <n v="10094"/>
    <s v="CUST-1742"/>
    <s v="Yusuf Bello"/>
    <x v="1"/>
    <x v="0"/>
    <n v="3"/>
    <n v="997113"/>
    <n v="0"/>
    <n v="0"/>
    <n v="2991339"/>
    <n v="2250000"/>
    <n v="741339"/>
    <x v="17"/>
    <d v="2024-11-27T00:00:00"/>
    <x v="5"/>
    <x v="3"/>
    <x v="0"/>
    <x v="0"/>
    <x v="0"/>
    <s v="Mon"/>
    <x v="0"/>
    <n v="2024"/>
  </r>
  <r>
    <n v="10025"/>
    <s v="CUST-6180"/>
    <s v="Abdulrahman Lawal"/>
    <x v="2"/>
    <x v="0"/>
    <n v="1"/>
    <n v="716997"/>
    <n v="10"/>
    <n v="71700"/>
    <n v="645297"/>
    <n v="550000"/>
    <n v="166997"/>
    <x v="18"/>
    <d v="2024-11-27T00:00:00"/>
    <x v="5"/>
    <x v="0"/>
    <x v="2"/>
    <x v="0"/>
    <x v="2"/>
    <s v="Tue"/>
    <x v="0"/>
    <n v="2024"/>
  </r>
  <r>
    <n v="10083"/>
    <s v="CUST-4846"/>
    <s v="Emeka Nwosu"/>
    <x v="17"/>
    <x v="1"/>
    <n v="2"/>
    <n v="97344"/>
    <n v="5"/>
    <n v="9734"/>
    <n v="184954"/>
    <n v="130000"/>
    <n v="64688"/>
    <x v="18"/>
    <d v="2024-11-27T00:00:00"/>
    <x v="0"/>
    <x v="2"/>
    <x v="1"/>
    <x v="0"/>
    <x v="1"/>
    <s v="Tue"/>
    <x v="0"/>
    <n v="2024"/>
  </r>
  <r>
    <n v="10192"/>
    <s v="CUST-7868"/>
    <s v="Tunde Adebayo"/>
    <x v="6"/>
    <x v="2"/>
    <n v="1"/>
    <n v="11689"/>
    <n v="0"/>
    <n v="0"/>
    <n v="11689"/>
    <n v="6500"/>
    <n v="5189"/>
    <x v="18"/>
    <d v="2024-12-01T00:00:00"/>
    <x v="2"/>
    <x v="2"/>
    <x v="2"/>
    <x v="2"/>
    <x v="2"/>
    <s v="Tue"/>
    <x v="0"/>
    <n v="2024"/>
  </r>
  <r>
    <n v="10143"/>
    <s v="CUST-8055"/>
    <s v="Blessing Okonkwo"/>
    <x v="6"/>
    <x v="2"/>
    <n v="2"/>
    <n v="12055"/>
    <n v="0"/>
    <n v="0"/>
    <n v="24110"/>
    <n v="13000"/>
    <n v="11110"/>
    <x v="19"/>
    <d v="2024-11-28T00:00:00"/>
    <x v="4"/>
    <x v="3"/>
    <x v="1"/>
    <x v="4"/>
    <x v="3"/>
    <s v="Wed"/>
    <x v="0"/>
    <n v="2024"/>
  </r>
  <r>
    <n v="10001"/>
    <s v="CUST-2824"/>
    <s v="Kunle Afolayan"/>
    <x v="10"/>
    <x v="0"/>
    <n v="3"/>
    <n v="828316"/>
    <n v="0"/>
    <n v="0"/>
    <n v="2484948"/>
    <n v="1950000"/>
    <n v="534948"/>
    <x v="19"/>
    <d v="2024-12-02T00:00:00"/>
    <x v="2"/>
    <x v="2"/>
    <x v="0"/>
    <x v="3"/>
    <x v="1"/>
    <s v="Wed"/>
    <x v="0"/>
    <n v="2024"/>
  </r>
  <r>
    <n v="10018"/>
    <s v="CUST-1887"/>
    <s v="Abdulrahman Lawal"/>
    <x v="5"/>
    <x v="3"/>
    <n v="1"/>
    <n v="84172"/>
    <n v="0"/>
    <n v="0"/>
    <n v="84172"/>
    <n v="55000"/>
    <n v="29172"/>
    <x v="20"/>
    <d v="2024-11-30T00:00:00"/>
    <x v="3"/>
    <x v="3"/>
    <x v="2"/>
    <x v="0"/>
    <x v="2"/>
    <s v="Thu"/>
    <x v="0"/>
    <n v="2024"/>
  </r>
  <r>
    <n v="10174"/>
    <s v="CUST-9824"/>
    <s v="Chidera Nwankwo"/>
    <x v="18"/>
    <x v="2"/>
    <n v="5"/>
    <n v="183531"/>
    <n v="0"/>
    <n v="0"/>
    <n v="917655"/>
    <n v="650000"/>
    <n v="267655"/>
    <x v="20"/>
    <d v="2024-12-03T00:00:00"/>
    <x v="6"/>
    <x v="1"/>
    <x v="4"/>
    <x v="3"/>
    <x v="1"/>
    <s v="Thu"/>
    <x v="0"/>
    <n v="2024"/>
  </r>
  <r>
    <n v="10009"/>
    <s v="CUST-3266"/>
    <s v="Ibrahim Musa"/>
    <x v="16"/>
    <x v="1"/>
    <n v="4"/>
    <n v="33568"/>
    <n v="0"/>
    <n v="0"/>
    <n v="134272"/>
    <n v="88000"/>
    <n v="46272"/>
    <x v="21"/>
    <d v="2024-12-01T00:00:00"/>
    <x v="6"/>
    <x v="2"/>
    <x v="0"/>
    <x v="0"/>
    <x v="4"/>
    <s v="Fri"/>
    <x v="0"/>
    <n v="2024"/>
  </r>
  <r>
    <n v="10099"/>
    <s v="CUST-5542"/>
    <s v="Chinedu Okoro"/>
    <x v="14"/>
    <x v="3"/>
    <n v="2"/>
    <n v="120483"/>
    <n v="0"/>
    <n v="0"/>
    <n v="240966"/>
    <n v="160000"/>
    <n v="80966"/>
    <x v="21"/>
    <d v="2024-11-30T00:00:00"/>
    <x v="3"/>
    <x v="1"/>
    <x v="1"/>
    <x v="1"/>
    <x v="3"/>
    <s v="Fri"/>
    <x v="0"/>
    <n v="2024"/>
  </r>
  <r>
    <n v="10199"/>
    <s v="CUST-6455"/>
    <s v="Idris Okoro"/>
    <x v="17"/>
    <x v="1"/>
    <n v="1"/>
    <n v="92262"/>
    <n v="0"/>
    <n v="0"/>
    <n v="92262"/>
    <n v="65000"/>
    <n v="27262"/>
    <x v="22"/>
    <d v="2024-12-05T00:00:00"/>
    <x v="3"/>
    <x v="3"/>
    <x v="4"/>
    <x v="3"/>
    <x v="2"/>
    <s v="Sun"/>
    <x v="1"/>
    <n v="2024"/>
  </r>
  <r>
    <n v="10060"/>
    <s v="CUST-6764"/>
    <s v="Jennifer Okeke"/>
    <x v="7"/>
    <x v="4"/>
    <n v="3"/>
    <n v="17652"/>
    <n v="0"/>
    <n v="0"/>
    <n v="52956"/>
    <n v="30000"/>
    <n v="22956"/>
    <x v="22"/>
    <d v="2024-12-03T00:00:00"/>
    <x v="4"/>
    <x v="1"/>
    <x v="2"/>
    <x v="1"/>
    <x v="2"/>
    <s v="Sun"/>
    <x v="1"/>
    <n v="2024"/>
  </r>
  <r>
    <n v="10131"/>
    <s v="CUST-8873"/>
    <s v="Funke Alabi"/>
    <x v="8"/>
    <x v="3"/>
    <n v="5"/>
    <n v="292160"/>
    <n v="10"/>
    <n v="146080"/>
    <n v="1314720"/>
    <n v="950000"/>
    <n v="510800"/>
    <x v="23"/>
    <d v="2024-12-05T00:00:00"/>
    <x v="2"/>
    <x v="3"/>
    <x v="1"/>
    <x v="0"/>
    <x v="3"/>
    <s v="Mon"/>
    <x v="1"/>
    <n v="2024"/>
  </r>
  <r>
    <n v="10152"/>
    <s v="CUST-2215"/>
    <s v="David Etim"/>
    <x v="7"/>
    <x v="4"/>
    <n v="4"/>
    <n v="18324"/>
    <n v="0"/>
    <n v="0"/>
    <n v="73296"/>
    <n v="40000"/>
    <n v="33296"/>
    <x v="24"/>
    <d v="2024-12-08T00:00:00"/>
    <x v="6"/>
    <x v="1"/>
    <x v="4"/>
    <x v="3"/>
    <x v="4"/>
    <s v="Tue"/>
    <x v="1"/>
    <n v="2024"/>
  </r>
  <r>
    <n v="10030"/>
    <s v="CUST-1590"/>
    <s v="Michael Ojo"/>
    <x v="8"/>
    <x v="3"/>
    <n v="5"/>
    <n v="281471"/>
    <n v="5"/>
    <n v="70368"/>
    <n v="1336987"/>
    <n v="950000"/>
    <n v="457355"/>
    <x v="24"/>
    <d v="2024-12-04T00:00:00"/>
    <x v="4"/>
    <x v="0"/>
    <x v="3"/>
    <x v="4"/>
    <x v="2"/>
    <s v="Tue"/>
    <x v="1"/>
    <n v="2024"/>
  </r>
  <r>
    <n v="10113"/>
    <s v="CUST-1897"/>
    <s v="Mercy Chukwu"/>
    <x v="10"/>
    <x v="0"/>
    <n v="2"/>
    <n v="833121"/>
    <n v="0"/>
    <n v="0"/>
    <n v="1666242"/>
    <n v="1300000"/>
    <n v="366242"/>
    <x v="25"/>
    <d v="2024-12-09T00:00:00"/>
    <x v="4"/>
    <x v="2"/>
    <x v="3"/>
    <x v="4"/>
    <x v="4"/>
    <s v="Fri"/>
    <x v="1"/>
    <n v="2024"/>
  </r>
  <r>
    <n v="10081"/>
    <s v="CUST-8213"/>
    <s v="Idris Okoro"/>
    <x v="5"/>
    <x v="3"/>
    <n v="5"/>
    <n v="88489"/>
    <n v="0"/>
    <n v="0"/>
    <n v="442445"/>
    <n v="275000"/>
    <n v="167445"/>
    <x v="26"/>
    <d v="2024-12-11T00:00:00"/>
    <x v="1"/>
    <x v="3"/>
    <x v="3"/>
    <x v="0"/>
    <x v="0"/>
    <s v="Sat"/>
    <x v="1"/>
    <n v="2024"/>
  </r>
  <r>
    <n v="10091"/>
    <s v="CUST-5835"/>
    <s v="Maryam Aliyu"/>
    <x v="3"/>
    <x v="1"/>
    <n v="1"/>
    <n v="318987"/>
    <n v="0"/>
    <n v="0"/>
    <n v="318987"/>
    <n v="240000"/>
    <n v="78987"/>
    <x v="26"/>
    <d v="2024-12-09T00:00:00"/>
    <x v="1"/>
    <x v="0"/>
    <x v="2"/>
    <x v="2"/>
    <x v="1"/>
    <s v="Sat"/>
    <x v="1"/>
    <n v="2024"/>
  </r>
  <r>
    <n v="10109"/>
    <s v="CUST-5477"/>
    <s v="Chioma Nnaji"/>
    <x v="17"/>
    <x v="1"/>
    <n v="3"/>
    <n v="93585"/>
    <n v="0"/>
    <n v="0"/>
    <n v="280755"/>
    <n v="195000"/>
    <n v="85755"/>
    <x v="26"/>
    <d v="2024-12-12T00:00:00"/>
    <x v="6"/>
    <x v="1"/>
    <x v="3"/>
    <x v="2"/>
    <x v="1"/>
    <s v="Sat"/>
    <x v="1"/>
    <n v="2024"/>
  </r>
  <r>
    <n v="10085"/>
    <s v="CUST-7267"/>
    <s v="Blessing Okonkwo"/>
    <x v="6"/>
    <x v="2"/>
    <n v="2"/>
    <n v="11997"/>
    <n v="10"/>
    <n v="2399"/>
    <n v="21595"/>
    <n v="13000"/>
    <n v="10994"/>
    <x v="26"/>
    <d v="2024-12-09T00:00:00"/>
    <x v="0"/>
    <x v="0"/>
    <x v="0"/>
    <x v="4"/>
    <x v="1"/>
    <s v="Sat"/>
    <x v="1"/>
    <n v="2024"/>
  </r>
  <r>
    <n v="10127"/>
    <s v="CUST-4509"/>
    <s v="Chioma Nnaji"/>
    <x v="3"/>
    <x v="1"/>
    <n v="4"/>
    <n v="310144"/>
    <n v="0"/>
    <n v="0"/>
    <n v="1240576"/>
    <n v="960000"/>
    <n v="280576"/>
    <x v="27"/>
    <d v="2024-12-11T00:00:00"/>
    <x v="4"/>
    <x v="2"/>
    <x v="2"/>
    <x v="1"/>
    <x v="0"/>
    <s v="Tue"/>
    <x v="1"/>
    <n v="2024"/>
  </r>
  <r>
    <n v="10110"/>
    <s v="CUST-9691"/>
    <s v="Blessing Okonkwo"/>
    <x v="15"/>
    <x v="2"/>
    <n v="4"/>
    <n v="14880"/>
    <n v="0"/>
    <n v="0"/>
    <n v="59520"/>
    <n v="32000"/>
    <n v="27520"/>
    <x v="28"/>
    <d v="2024-12-14T00:00:00"/>
    <x v="4"/>
    <x v="2"/>
    <x v="2"/>
    <x v="4"/>
    <x v="1"/>
    <s v="Wed"/>
    <x v="1"/>
    <n v="2024"/>
  </r>
  <r>
    <n v="10066"/>
    <s v="CUST-2625"/>
    <s v="Hauwa Bello"/>
    <x v="15"/>
    <x v="2"/>
    <n v="2"/>
    <n v="14647"/>
    <n v="0"/>
    <n v="0"/>
    <n v="29294"/>
    <n v="16000"/>
    <n v="13294"/>
    <x v="28"/>
    <d v="2024-12-13T00:00:00"/>
    <x v="3"/>
    <x v="1"/>
    <x v="3"/>
    <x v="3"/>
    <x v="1"/>
    <s v="Wed"/>
    <x v="1"/>
    <n v="2024"/>
  </r>
  <r>
    <n v="10153"/>
    <s v="CUST-1907"/>
    <s v="Chibuzor Madu"/>
    <x v="5"/>
    <x v="3"/>
    <n v="5"/>
    <n v="82051"/>
    <n v="0"/>
    <n v="0"/>
    <n v="410255"/>
    <n v="275000"/>
    <n v="135255"/>
    <x v="29"/>
    <d v="2024-12-15T00:00:00"/>
    <x v="6"/>
    <x v="0"/>
    <x v="1"/>
    <x v="0"/>
    <x v="1"/>
    <s v="Thu"/>
    <x v="1"/>
    <n v="2024"/>
  </r>
  <r>
    <n v="10180"/>
    <s v="CUST-6523"/>
    <s v="Hauwa Bello"/>
    <x v="17"/>
    <x v="1"/>
    <n v="5"/>
    <n v="96657"/>
    <n v="0"/>
    <n v="0"/>
    <n v="483285"/>
    <n v="325000"/>
    <n v="158285"/>
    <x v="30"/>
    <d v="2024-12-20T00:00:00"/>
    <x v="1"/>
    <x v="0"/>
    <x v="0"/>
    <x v="2"/>
    <x v="1"/>
    <s v="Sun"/>
    <x v="1"/>
    <n v="2024"/>
  </r>
  <r>
    <n v="10034"/>
    <s v="CUST-9785"/>
    <s v="Mercy Chukwu"/>
    <x v="3"/>
    <x v="1"/>
    <n v="1"/>
    <n v="307691"/>
    <n v="0"/>
    <n v="0"/>
    <n v="307691"/>
    <n v="240000"/>
    <n v="67691"/>
    <x v="31"/>
    <d v="2024-12-21T00:00:00"/>
    <x v="4"/>
    <x v="3"/>
    <x v="3"/>
    <x v="1"/>
    <x v="0"/>
    <s v="Mon"/>
    <x v="1"/>
    <n v="2024"/>
  </r>
  <r>
    <n v="10198"/>
    <s v="CUST-7179"/>
    <s v="Nkechi Anozie"/>
    <x v="6"/>
    <x v="2"/>
    <n v="5"/>
    <n v="11447"/>
    <n v="0"/>
    <n v="0"/>
    <n v="57235"/>
    <n v="32500"/>
    <n v="24735"/>
    <x v="32"/>
    <d v="2024-12-24T00:00:00"/>
    <x v="6"/>
    <x v="3"/>
    <x v="4"/>
    <x v="3"/>
    <x v="2"/>
    <s v="Thu"/>
    <x v="1"/>
    <n v="2024"/>
  </r>
  <r>
    <n v="10002"/>
    <s v="CUST-4582"/>
    <s v="Blessing Okonkwo"/>
    <x v="4"/>
    <x v="2"/>
    <n v="5"/>
    <n v="35357"/>
    <n v="10"/>
    <n v="17678"/>
    <n v="159107"/>
    <n v="100000"/>
    <n v="76785"/>
    <x v="33"/>
    <d v="2024-12-26T00:00:00"/>
    <x v="0"/>
    <x v="0"/>
    <x v="0"/>
    <x v="0"/>
    <x v="1"/>
    <s v="Sat"/>
    <x v="1"/>
    <n v="2024"/>
  </r>
  <r>
    <n v="10157"/>
    <s v="CUST-1981"/>
    <s v="Peter Obi"/>
    <x v="0"/>
    <x v="0"/>
    <n v="4"/>
    <n v="143777"/>
    <n v="5"/>
    <n v="28755"/>
    <n v="546353"/>
    <n v="420000"/>
    <n v="155108"/>
    <x v="34"/>
    <d v="2024-12-26T00:00:00"/>
    <x v="5"/>
    <x v="0"/>
    <x v="1"/>
    <x v="0"/>
    <x v="0"/>
    <s v="Mon"/>
    <x v="1"/>
    <n v="2024"/>
  </r>
  <r>
    <n v="10024"/>
    <s v="CUST-7868"/>
    <s v="Blessing Okonkwo"/>
    <x v="12"/>
    <x v="2"/>
    <n v="5"/>
    <n v="18041"/>
    <n v="0"/>
    <n v="0"/>
    <n v="90205"/>
    <n v="50000"/>
    <n v="40205"/>
    <x v="34"/>
    <d v="2024-12-26T00:00:00"/>
    <x v="3"/>
    <x v="1"/>
    <x v="0"/>
    <x v="4"/>
    <x v="0"/>
    <s v="Mon"/>
    <x v="1"/>
    <n v="2024"/>
  </r>
  <r>
    <n v="10098"/>
    <s v="CUST-3063"/>
    <s v="Uche Okafor"/>
    <x v="12"/>
    <x v="2"/>
    <n v="2"/>
    <n v="17223"/>
    <n v="10"/>
    <n v="3445"/>
    <n v="31001"/>
    <n v="20000"/>
    <n v="14446"/>
    <x v="35"/>
    <d v="2024-12-29T00:00:00"/>
    <x v="3"/>
    <x v="1"/>
    <x v="1"/>
    <x v="0"/>
    <x v="3"/>
    <s v="Tue"/>
    <x v="1"/>
    <n v="2024"/>
  </r>
  <r>
    <n v="10093"/>
    <s v="CUST-1410"/>
    <s v="Bola Tinubu"/>
    <x v="6"/>
    <x v="2"/>
    <n v="5"/>
    <n v="11794"/>
    <n v="10"/>
    <n v="5897"/>
    <n v="53073"/>
    <n v="32500"/>
    <n v="26470"/>
    <x v="36"/>
    <d v="2024-12-28T00:00:00"/>
    <x v="6"/>
    <x v="3"/>
    <x v="1"/>
    <x v="2"/>
    <x v="1"/>
    <s v="Fri"/>
    <x v="1"/>
    <n v="2024"/>
  </r>
  <r>
    <n v="10194"/>
    <s v="CUST-6253"/>
    <s v="Obinna Umeh"/>
    <x v="4"/>
    <x v="2"/>
    <n v="3"/>
    <n v="36317"/>
    <n v="10"/>
    <n v="10895"/>
    <n v="98056"/>
    <n v="60000"/>
    <n v="48951"/>
    <x v="36"/>
    <d v="2024-12-31T00:00:00"/>
    <x v="4"/>
    <x v="1"/>
    <x v="3"/>
    <x v="4"/>
    <x v="4"/>
    <s v="Fri"/>
    <x v="1"/>
    <n v="2024"/>
  </r>
  <r>
    <n v="10183"/>
    <s v="CUST-6095"/>
    <s v="Collins Eze"/>
    <x v="5"/>
    <x v="3"/>
    <n v="3"/>
    <n v="83874"/>
    <n v="0"/>
    <n v="0"/>
    <n v="251622"/>
    <n v="165000"/>
    <n v="86622"/>
    <x v="36"/>
    <d v="2024-12-29T00:00:00"/>
    <x v="0"/>
    <x v="0"/>
    <x v="0"/>
    <x v="0"/>
    <x v="4"/>
    <s v="Fri"/>
    <x v="1"/>
    <n v="2024"/>
  </r>
  <r>
    <n v="10117"/>
    <s v="CUST-9584"/>
    <s v="Mercy Chukwu"/>
    <x v="2"/>
    <x v="0"/>
    <n v="4"/>
    <n v="746678"/>
    <n v="0"/>
    <n v="0"/>
    <n v="2986712"/>
    <n v="2200000"/>
    <n v="786712"/>
    <x v="36"/>
    <d v="2024-12-30T00:00:00"/>
    <x v="1"/>
    <x v="2"/>
    <x v="3"/>
    <x v="0"/>
    <x v="3"/>
    <s v="Fri"/>
    <x v="1"/>
    <n v="2024"/>
  </r>
  <r>
    <n v="10088"/>
    <s v="CUST-1803"/>
    <s v="Chinedu Okoro"/>
    <x v="6"/>
    <x v="2"/>
    <n v="4"/>
    <n v="12399"/>
    <n v="0"/>
    <n v="0"/>
    <n v="49596"/>
    <n v="26000"/>
    <n v="23596"/>
    <x v="37"/>
    <d v="2025-01-03T00:00:00"/>
    <x v="1"/>
    <x v="1"/>
    <x v="4"/>
    <x v="4"/>
    <x v="3"/>
    <s v="Sun"/>
    <x v="1"/>
    <n v="2024"/>
  </r>
  <r>
    <n v="10129"/>
    <s v="CUST-4891"/>
    <s v="Patience Akpan"/>
    <x v="7"/>
    <x v="4"/>
    <n v="5"/>
    <n v="17613"/>
    <n v="5"/>
    <n v="4403"/>
    <n v="83662"/>
    <n v="50000"/>
    <n v="38065"/>
    <x v="38"/>
    <d v="2025-01-04T00:00:00"/>
    <x v="3"/>
    <x v="1"/>
    <x v="0"/>
    <x v="4"/>
    <x v="0"/>
    <s v="Mon"/>
    <x v="1"/>
    <n v="2024"/>
  </r>
  <r>
    <n v="10118"/>
    <s v="CUST-4176"/>
    <s v="Chibuzor Madu"/>
    <x v="8"/>
    <x v="3"/>
    <n v="3"/>
    <n v="286367"/>
    <n v="0"/>
    <n v="0"/>
    <n v="859101"/>
    <n v="570000"/>
    <n v="289101"/>
    <x v="39"/>
    <d v="2025-01-01T00:00:00"/>
    <x v="3"/>
    <x v="1"/>
    <x v="4"/>
    <x v="4"/>
    <x v="3"/>
    <s v="Tue"/>
    <x v="1"/>
    <n v="2024"/>
  </r>
  <r>
    <n v="10158"/>
    <s v="CUST-3142"/>
    <s v="Mercy Chukwu"/>
    <x v="8"/>
    <x v="3"/>
    <n v="5"/>
    <n v="281726"/>
    <n v="0"/>
    <n v="0"/>
    <n v="1408630"/>
    <n v="950000"/>
    <n v="458630"/>
    <x v="40"/>
    <d v="2025-01-05T00:00:00"/>
    <x v="2"/>
    <x v="1"/>
    <x v="0"/>
    <x v="4"/>
    <x v="2"/>
    <s v="Wed"/>
    <x v="2"/>
    <n v="2025"/>
  </r>
  <r>
    <n v="10075"/>
    <s v="CUST-5719"/>
    <s v="Yusuf Bello"/>
    <x v="7"/>
    <x v="4"/>
    <n v="4"/>
    <n v="17319"/>
    <n v="10"/>
    <n v="6928"/>
    <n v="62348"/>
    <n v="40000"/>
    <n v="29276"/>
    <x v="40"/>
    <d v="2025-01-03T00:00:00"/>
    <x v="4"/>
    <x v="3"/>
    <x v="3"/>
    <x v="3"/>
    <x v="1"/>
    <s v="Wed"/>
    <x v="2"/>
    <n v="2025"/>
  </r>
  <r>
    <n v="10084"/>
    <s v="CUST-1919"/>
    <s v="David Etim"/>
    <x v="17"/>
    <x v="1"/>
    <n v="3"/>
    <n v="93811"/>
    <n v="0"/>
    <n v="0"/>
    <n v="281433"/>
    <n v="195000"/>
    <n v="86433"/>
    <x v="41"/>
    <d v="2025-01-07T00:00:00"/>
    <x v="0"/>
    <x v="1"/>
    <x v="4"/>
    <x v="3"/>
    <x v="2"/>
    <s v="Thu"/>
    <x v="2"/>
    <n v="2025"/>
  </r>
  <r>
    <n v="10006"/>
    <s v="CUST-5374"/>
    <s v="Kemi Ogunleye"/>
    <x v="2"/>
    <x v="0"/>
    <n v="5"/>
    <n v="729718"/>
    <n v="10"/>
    <n v="364859"/>
    <n v="3283731"/>
    <n v="2750000"/>
    <n v="898590"/>
    <x v="41"/>
    <d v="2025-01-04T00:00:00"/>
    <x v="0"/>
    <x v="1"/>
    <x v="1"/>
    <x v="2"/>
    <x v="0"/>
    <s v="Thu"/>
    <x v="2"/>
    <n v="2025"/>
  </r>
  <r>
    <n v="10123"/>
    <s v="CUST-6626"/>
    <s v="Maryam Aliyu"/>
    <x v="2"/>
    <x v="0"/>
    <n v="5"/>
    <n v="730521"/>
    <n v="0"/>
    <n v="0"/>
    <n v="3652605"/>
    <n v="2750000"/>
    <n v="902605"/>
    <x v="42"/>
    <d v="2025-01-07T00:00:00"/>
    <x v="0"/>
    <x v="1"/>
    <x v="2"/>
    <x v="3"/>
    <x v="0"/>
    <s v="Fri"/>
    <x v="2"/>
    <n v="2025"/>
  </r>
  <r>
    <n v="10184"/>
    <s v="CUST-9998"/>
    <s v="Peter Obi"/>
    <x v="9"/>
    <x v="4"/>
    <n v="5"/>
    <n v="22664"/>
    <n v="0"/>
    <n v="0"/>
    <n v="113320"/>
    <n v="65000"/>
    <n v="48320"/>
    <x v="42"/>
    <d v="2025-01-08T00:00:00"/>
    <x v="1"/>
    <x v="3"/>
    <x v="2"/>
    <x v="1"/>
    <x v="3"/>
    <s v="Fri"/>
    <x v="2"/>
    <n v="2025"/>
  </r>
  <r>
    <n v="10191"/>
    <s v="CUST-9920"/>
    <s v="Abdulrahman Lawal"/>
    <x v="13"/>
    <x v="4"/>
    <n v="5"/>
    <n v="24698"/>
    <n v="0"/>
    <n v="0"/>
    <n v="123490"/>
    <n v="75000"/>
    <n v="48490"/>
    <x v="42"/>
    <d v="2025-01-07T00:00:00"/>
    <x v="4"/>
    <x v="1"/>
    <x v="1"/>
    <x v="0"/>
    <x v="1"/>
    <s v="Fri"/>
    <x v="2"/>
    <n v="2025"/>
  </r>
  <r>
    <n v="10159"/>
    <s v="CUST-1829"/>
    <s v="Segun Olayinka"/>
    <x v="17"/>
    <x v="1"/>
    <n v="4"/>
    <n v="98460"/>
    <n v="5"/>
    <n v="19692"/>
    <n v="374148"/>
    <n v="260000"/>
    <n v="133840"/>
    <x v="42"/>
    <d v="2025-01-05T00:00:00"/>
    <x v="1"/>
    <x v="0"/>
    <x v="2"/>
    <x v="4"/>
    <x v="2"/>
    <s v="Fri"/>
    <x v="2"/>
    <n v="2025"/>
  </r>
  <r>
    <n v="10068"/>
    <s v="CUST-4241"/>
    <s v="Daniel Okafor"/>
    <x v="13"/>
    <x v="4"/>
    <n v="1"/>
    <n v="25111"/>
    <n v="0"/>
    <n v="0"/>
    <n v="25111"/>
    <n v="15000"/>
    <n v="10111"/>
    <x v="43"/>
    <d v="2025-01-10T00:00:00"/>
    <x v="2"/>
    <x v="0"/>
    <x v="4"/>
    <x v="1"/>
    <x v="3"/>
    <s v="Wed"/>
    <x v="2"/>
    <n v="2025"/>
  </r>
  <r>
    <n v="10007"/>
    <s v="CUST-1916"/>
    <s v="Oluwaseun Akinyemi"/>
    <x v="4"/>
    <x v="2"/>
    <n v="1"/>
    <n v="36068"/>
    <n v="5"/>
    <n v="1803"/>
    <n v="34265"/>
    <n v="20000"/>
    <n v="16068"/>
    <x v="43"/>
    <d v="2025-01-09T00:00:00"/>
    <x v="3"/>
    <x v="1"/>
    <x v="1"/>
    <x v="3"/>
    <x v="4"/>
    <s v="Wed"/>
    <x v="2"/>
    <n v="2025"/>
  </r>
  <r>
    <n v="10120"/>
    <s v="CUST-8205"/>
    <s v="Aisha Ibrahim"/>
    <x v="2"/>
    <x v="0"/>
    <n v="4"/>
    <n v="715839"/>
    <n v="0"/>
    <n v="0"/>
    <n v="2863356"/>
    <n v="2200000"/>
    <n v="663356"/>
    <x v="44"/>
    <d v="2025-01-15T00:00:00"/>
    <x v="2"/>
    <x v="2"/>
    <x v="2"/>
    <x v="4"/>
    <x v="0"/>
    <s v="Fri"/>
    <x v="2"/>
    <n v="2025"/>
  </r>
  <r>
    <n v="10071"/>
    <s v="CUST-1659"/>
    <s v="Ebuka Onu"/>
    <x v="0"/>
    <x v="0"/>
    <n v="4"/>
    <n v="145275"/>
    <n v="5"/>
    <n v="29055"/>
    <n v="552045"/>
    <n v="420000"/>
    <n v="161100"/>
    <x v="45"/>
    <d v="2025-01-13T00:00:00"/>
    <x v="5"/>
    <x v="2"/>
    <x v="0"/>
    <x v="2"/>
    <x v="4"/>
    <s v="Sat"/>
    <x v="2"/>
    <n v="2025"/>
  </r>
  <r>
    <n v="10171"/>
    <s v="CUST-5331"/>
    <s v="Samuel Adewale"/>
    <x v="6"/>
    <x v="2"/>
    <n v="4"/>
    <n v="11631"/>
    <n v="0"/>
    <n v="0"/>
    <n v="46524"/>
    <n v="26000"/>
    <n v="20524"/>
    <x v="45"/>
    <d v="2025-01-16T00:00:00"/>
    <x v="4"/>
    <x v="0"/>
    <x v="1"/>
    <x v="0"/>
    <x v="2"/>
    <s v="Sat"/>
    <x v="2"/>
    <n v="2025"/>
  </r>
  <r>
    <n v="10049"/>
    <s v="CUST-6363"/>
    <s v="Kenneth Udo"/>
    <x v="15"/>
    <x v="2"/>
    <n v="4"/>
    <n v="14740"/>
    <n v="5"/>
    <n v="2948"/>
    <n v="56012"/>
    <n v="32000"/>
    <n v="26960"/>
    <x v="45"/>
    <d v="2025-01-15T00:00:00"/>
    <x v="4"/>
    <x v="2"/>
    <x v="0"/>
    <x v="1"/>
    <x v="3"/>
    <s v="Sat"/>
    <x v="2"/>
    <n v="2025"/>
  </r>
  <r>
    <n v="10178"/>
    <s v="CUST-5888"/>
    <s v="Chinedu Okoro"/>
    <x v="12"/>
    <x v="2"/>
    <n v="5"/>
    <n v="17293"/>
    <n v="0"/>
    <n v="0"/>
    <n v="86465"/>
    <n v="50000"/>
    <n v="36465"/>
    <x v="46"/>
    <d v="2025-01-16T00:00:00"/>
    <x v="6"/>
    <x v="3"/>
    <x v="2"/>
    <x v="3"/>
    <x v="2"/>
    <s v="Sun"/>
    <x v="2"/>
    <n v="2025"/>
  </r>
  <r>
    <n v="10172"/>
    <s v="CUST-9011"/>
    <s v="Peter Obi"/>
    <x v="3"/>
    <x v="1"/>
    <n v="4"/>
    <n v="315162"/>
    <n v="0"/>
    <n v="0"/>
    <n v="1260648"/>
    <n v="960000"/>
    <n v="300648"/>
    <x v="47"/>
    <d v="2025-01-14T00:00:00"/>
    <x v="5"/>
    <x v="3"/>
    <x v="0"/>
    <x v="3"/>
    <x v="0"/>
    <s v="Mon"/>
    <x v="2"/>
    <n v="2025"/>
  </r>
  <r>
    <n v="10067"/>
    <s v="CUST-8381"/>
    <s v="Olumide Johnson"/>
    <x v="6"/>
    <x v="2"/>
    <n v="4"/>
    <n v="11750"/>
    <n v="0"/>
    <n v="0"/>
    <n v="47000"/>
    <n v="26000"/>
    <n v="21000"/>
    <x v="47"/>
    <d v="2025-01-16T00:00:00"/>
    <x v="6"/>
    <x v="1"/>
    <x v="3"/>
    <x v="2"/>
    <x v="0"/>
    <s v="Mon"/>
    <x v="2"/>
    <n v="2025"/>
  </r>
  <r>
    <n v="10136"/>
    <s v="CUST-1269"/>
    <s v="Michael Ojo"/>
    <x v="16"/>
    <x v="1"/>
    <n v="5"/>
    <n v="34097"/>
    <n v="0"/>
    <n v="0"/>
    <n v="170485"/>
    <n v="110000"/>
    <n v="60485"/>
    <x v="48"/>
    <d v="2025-01-18T00:00:00"/>
    <x v="2"/>
    <x v="1"/>
    <x v="1"/>
    <x v="3"/>
    <x v="3"/>
    <s v="Tue"/>
    <x v="2"/>
    <n v="2025"/>
  </r>
  <r>
    <n v="10103"/>
    <s v="CUST-9984"/>
    <s v="Nkechi Anozie"/>
    <x v="3"/>
    <x v="1"/>
    <n v="4"/>
    <n v="335828"/>
    <n v="10"/>
    <n v="134331"/>
    <n v="1208981"/>
    <n v="960000"/>
    <n v="383312"/>
    <x v="49"/>
    <d v="2025-01-19T00:00:00"/>
    <x v="5"/>
    <x v="2"/>
    <x v="0"/>
    <x v="3"/>
    <x v="1"/>
    <s v="Wed"/>
    <x v="2"/>
    <n v="2025"/>
  </r>
  <r>
    <n v="10196"/>
    <s v="CUST-4012"/>
    <s v="Kenneth Udo"/>
    <x v="19"/>
    <x v="1"/>
    <n v="4"/>
    <n v="11689"/>
    <n v="0"/>
    <n v="0"/>
    <n v="46756"/>
    <n v="28000"/>
    <n v="18756"/>
    <x v="50"/>
    <d v="2025-01-18T00:00:00"/>
    <x v="1"/>
    <x v="3"/>
    <x v="3"/>
    <x v="2"/>
    <x v="4"/>
    <s v="Thu"/>
    <x v="2"/>
    <n v="2025"/>
  </r>
  <r>
    <n v="10046"/>
    <s v="CUST-1320"/>
    <s v="Peter Obi"/>
    <x v="12"/>
    <x v="2"/>
    <n v="4"/>
    <n v="17959"/>
    <n v="0"/>
    <n v="0"/>
    <n v="71836"/>
    <n v="40000"/>
    <n v="31836"/>
    <x v="50"/>
    <d v="2025-01-20T00:00:00"/>
    <x v="1"/>
    <x v="1"/>
    <x v="2"/>
    <x v="2"/>
    <x v="4"/>
    <s v="Thu"/>
    <x v="2"/>
    <n v="2025"/>
  </r>
  <r>
    <n v="10065"/>
    <s v="CUST-4697"/>
    <s v="Obinna Umeh"/>
    <x v="16"/>
    <x v="1"/>
    <n v="4"/>
    <n v="34827"/>
    <n v="5"/>
    <n v="6965"/>
    <n v="132343"/>
    <n v="88000"/>
    <n v="51308"/>
    <x v="50"/>
    <d v="2025-01-21T00:00:00"/>
    <x v="0"/>
    <x v="2"/>
    <x v="2"/>
    <x v="4"/>
    <x v="3"/>
    <s v="Thu"/>
    <x v="2"/>
    <n v="2025"/>
  </r>
  <r>
    <n v="10064"/>
    <s v="CUST-2213"/>
    <s v="Esther Onyeka"/>
    <x v="12"/>
    <x v="2"/>
    <n v="1"/>
    <n v="17373"/>
    <n v="10"/>
    <n v="1737"/>
    <n v="15636"/>
    <n v="10000"/>
    <n v="7373"/>
    <x v="51"/>
    <d v="2025-01-18T00:00:00"/>
    <x v="3"/>
    <x v="3"/>
    <x v="2"/>
    <x v="1"/>
    <x v="3"/>
    <s v="Fri"/>
    <x v="2"/>
    <n v="2025"/>
  </r>
  <r>
    <n v="10200"/>
    <s v="CUST-6269"/>
    <s v="Fatima Mohammed"/>
    <x v="17"/>
    <x v="1"/>
    <n v="4"/>
    <n v="94679"/>
    <n v="0"/>
    <n v="0"/>
    <n v="378716"/>
    <n v="260000"/>
    <n v="118716"/>
    <x v="52"/>
    <d v="2025-01-21T00:00:00"/>
    <x v="4"/>
    <x v="3"/>
    <x v="0"/>
    <x v="3"/>
    <x v="1"/>
    <s v="Sat"/>
    <x v="2"/>
    <n v="2025"/>
  </r>
  <r>
    <n v="10176"/>
    <s v="CUST-8793"/>
    <s v="Ifunanya Okolie"/>
    <x v="9"/>
    <x v="4"/>
    <n v="2"/>
    <n v="22563"/>
    <n v="0"/>
    <n v="0"/>
    <n v="45126"/>
    <n v="26000"/>
    <n v="19126"/>
    <x v="53"/>
    <d v="2025-01-25T00:00:00"/>
    <x v="6"/>
    <x v="1"/>
    <x v="3"/>
    <x v="1"/>
    <x v="3"/>
    <s v="Wed"/>
    <x v="2"/>
    <n v="2025"/>
  </r>
  <r>
    <n v="10012"/>
    <s v="CUST-3646"/>
    <s v="Patience Akpan"/>
    <x v="19"/>
    <x v="1"/>
    <n v="5"/>
    <n v="12502"/>
    <n v="10"/>
    <n v="6251"/>
    <n v="56259"/>
    <n v="35000"/>
    <n v="27510"/>
    <x v="53"/>
    <d v="2025-01-26T00:00:00"/>
    <x v="2"/>
    <x v="0"/>
    <x v="1"/>
    <x v="1"/>
    <x v="2"/>
    <s v="Wed"/>
    <x v="2"/>
    <n v="2025"/>
  </r>
  <r>
    <n v="10072"/>
    <s v="CUST-7690"/>
    <s v="Samuel Adewale"/>
    <x v="3"/>
    <x v="1"/>
    <n v="3"/>
    <n v="325444"/>
    <n v="0"/>
    <n v="0"/>
    <n v="976332"/>
    <n v="720000"/>
    <n v="256332"/>
    <x v="54"/>
    <d v="2025-01-28T00:00:00"/>
    <x v="6"/>
    <x v="3"/>
    <x v="1"/>
    <x v="2"/>
    <x v="3"/>
    <s v="Fri"/>
    <x v="2"/>
    <n v="2025"/>
  </r>
  <r>
    <n v="10175"/>
    <s v="CUST-9700"/>
    <s v="Ahmed Suleiman"/>
    <x v="4"/>
    <x v="2"/>
    <n v="2"/>
    <n v="33434"/>
    <n v="5"/>
    <n v="3343"/>
    <n v="63525"/>
    <n v="40000"/>
    <n v="26868"/>
    <x v="54"/>
    <d v="2025-01-28T00:00:00"/>
    <x v="2"/>
    <x v="1"/>
    <x v="3"/>
    <x v="0"/>
    <x v="4"/>
    <s v="Fri"/>
    <x v="2"/>
    <n v="2025"/>
  </r>
  <r>
    <n v="10179"/>
    <s v="CUST-9261"/>
    <s v="Bukola Saraki"/>
    <x v="7"/>
    <x v="4"/>
    <n v="3"/>
    <n v="17447"/>
    <n v="0"/>
    <n v="0"/>
    <n v="52341"/>
    <n v="30000"/>
    <n v="22341"/>
    <x v="54"/>
    <d v="2025-01-26T00:00:00"/>
    <x v="6"/>
    <x v="1"/>
    <x v="1"/>
    <x v="2"/>
    <x v="1"/>
    <s v="Fri"/>
    <x v="2"/>
    <n v="2025"/>
  </r>
  <r>
    <n v="10197"/>
    <s v="CUST-9683"/>
    <s v="Fatima Mohammed"/>
    <x v="14"/>
    <x v="3"/>
    <n v="4"/>
    <n v="116914"/>
    <n v="0"/>
    <n v="0"/>
    <n v="467656"/>
    <n v="320000"/>
    <n v="147656"/>
    <x v="54"/>
    <d v="2025-01-25T00:00:00"/>
    <x v="0"/>
    <x v="1"/>
    <x v="3"/>
    <x v="4"/>
    <x v="1"/>
    <s v="Fri"/>
    <x v="2"/>
    <n v="2025"/>
  </r>
  <r>
    <n v="10039"/>
    <s v="CUST-3780"/>
    <s v="Bola Tinubu"/>
    <x v="2"/>
    <x v="0"/>
    <n v="3"/>
    <n v="721113"/>
    <n v="10"/>
    <n v="216334"/>
    <n v="1947005"/>
    <n v="1650000"/>
    <n v="513339"/>
    <x v="55"/>
    <d v="2025-01-26T00:00:00"/>
    <x v="1"/>
    <x v="1"/>
    <x v="1"/>
    <x v="0"/>
    <x v="2"/>
    <s v="Sat"/>
    <x v="2"/>
    <n v="2025"/>
  </r>
  <r>
    <n v="10015"/>
    <s v="CUST-9479"/>
    <s v="Emmanuel Chukwu"/>
    <x v="7"/>
    <x v="4"/>
    <n v="1"/>
    <n v="17546"/>
    <n v="0"/>
    <n v="0"/>
    <n v="17546"/>
    <n v="10000"/>
    <n v="7546"/>
    <x v="56"/>
    <d v="2025-01-27T00:00:00"/>
    <x v="5"/>
    <x v="1"/>
    <x v="4"/>
    <x v="3"/>
    <x v="1"/>
    <s v="Sun"/>
    <x v="2"/>
    <n v="2025"/>
  </r>
  <r>
    <n v="10003"/>
    <s v="CUST-3615"/>
    <s v="Nonso Anene"/>
    <x v="13"/>
    <x v="4"/>
    <n v="3"/>
    <n v="24445"/>
    <n v="0"/>
    <n v="0"/>
    <n v="73335"/>
    <n v="45000"/>
    <n v="28335"/>
    <x v="56"/>
    <d v="2025-01-27T00:00:00"/>
    <x v="2"/>
    <x v="0"/>
    <x v="3"/>
    <x v="2"/>
    <x v="0"/>
    <s v="Sun"/>
    <x v="2"/>
    <n v="2025"/>
  </r>
  <r>
    <n v="10104"/>
    <s v="CUST-4522"/>
    <s v="Bukola Saraki"/>
    <x v="13"/>
    <x v="4"/>
    <n v="4"/>
    <n v="25970"/>
    <n v="5"/>
    <n v="5194"/>
    <n v="98686"/>
    <n v="60000"/>
    <n v="43880"/>
    <x v="56"/>
    <d v="2025-01-30T00:00:00"/>
    <x v="0"/>
    <x v="0"/>
    <x v="3"/>
    <x v="2"/>
    <x v="4"/>
    <s v="Sun"/>
    <x v="2"/>
    <n v="2025"/>
  </r>
  <r>
    <n v="10057"/>
    <s v="CUST-6325"/>
    <s v="Bukola Saraki"/>
    <x v="0"/>
    <x v="0"/>
    <n v="4"/>
    <n v="140826"/>
    <n v="0"/>
    <n v="0"/>
    <n v="563304"/>
    <n v="420000"/>
    <n v="143304"/>
    <x v="57"/>
    <d v="2025-01-30T00:00:00"/>
    <x v="5"/>
    <x v="2"/>
    <x v="2"/>
    <x v="4"/>
    <x v="3"/>
    <s v="Mon"/>
    <x v="2"/>
    <n v="2025"/>
  </r>
  <r>
    <n v="10173"/>
    <s v="CUST-3399"/>
    <s v="Victoria Olatunji"/>
    <x v="17"/>
    <x v="1"/>
    <n v="1"/>
    <n v="92982"/>
    <n v="0"/>
    <n v="0"/>
    <n v="92982"/>
    <n v="65000"/>
    <n v="27982"/>
    <x v="58"/>
    <d v="2025-02-01T00:00:00"/>
    <x v="6"/>
    <x v="1"/>
    <x v="0"/>
    <x v="4"/>
    <x v="2"/>
    <s v="Tue"/>
    <x v="2"/>
    <n v="2025"/>
  </r>
  <r>
    <n v="10086"/>
    <s v="CUST-8622"/>
    <s v="Emmanuel Chukwu"/>
    <x v="17"/>
    <x v="1"/>
    <n v="5"/>
    <n v="91751"/>
    <n v="5"/>
    <n v="22938"/>
    <n v="435817"/>
    <n v="325000"/>
    <n v="133755"/>
    <x v="58"/>
    <d v="2025-02-02T00:00:00"/>
    <x v="4"/>
    <x v="3"/>
    <x v="1"/>
    <x v="2"/>
    <x v="0"/>
    <s v="Tue"/>
    <x v="2"/>
    <n v="2025"/>
  </r>
  <r>
    <n v="10125"/>
    <s v="CUST-3463"/>
    <s v="Tope Balogun"/>
    <x v="3"/>
    <x v="1"/>
    <n v="1"/>
    <n v="322648"/>
    <n v="0"/>
    <n v="0"/>
    <n v="322648"/>
    <n v="240000"/>
    <n v="82648"/>
    <x v="59"/>
    <d v="2025-02-01T00:00:00"/>
    <x v="6"/>
    <x v="2"/>
    <x v="4"/>
    <x v="2"/>
    <x v="0"/>
    <s v="Wed"/>
    <x v="2"/>
    <n v="2025"/>
  </r>
  <r>
    <n v="10144"/>
    <s v="CUST-7981"/>
    <s v="Sarah Okon"/>
    <x v="0"/>
    <x v="0"/>
    <n v="4"/>
    <n v="142847"/>
    <n v="0"/>
    <n v="0"/>
    <n v="571388"/>
    <n v="420000"/>
    <n v="151388"/>
    <x v="60"/>
    <d v="2025-02-04T00:00:00"/>
    <x v="0"/>
    <x v="2"/>
    <x v="3"/>
    <x v="4"/>
    <x v="4"/>
    <s v="Thu"/>
    <x v="2"/>
    <n v="2025"/>
  </r>
  <r>
    <n v="10087"/>
    <s v="CUST-7302"/>
    <s v="Femi Adeyemi"/>
    <x v="9"/>
    <x v="4"/>
    <n v="1"/>
    <n v="21422"/>
    <n v="10"/>
    <n v="2142"/>
    <n v="19280"/>
    <n v="13000"/>
    <n v="8422"/>
    <x v="61"/>
    <d v="2025-02-05T00:00:00"/>
    <x v="4"/>
    <x v="3"/>
    <x v="3"/>
    <x v="4"/>
    <x v="0"/>
    <s v="Fri"/>
    <x v="2"/>
    <n v="2025"/>
  </r>
  <r>
    <n v="10096"/>
    <s v="CUST-7070"/>
    <s v="Tunde Adebayo"/>
    <x v="15"/>
    <x v="2"/>
    <n v="4"/>
    <n v="14917"/>
    <n v="0"/>
    <n v="0"/>
    <n v="59668"/>
    <n v="32000"/>
    <n v="27668"/>
    <x v="62"/>
    <d v="2025-02-02T00:00:00"/>
    <x v="6"/>
    <x v="0"/>
    <x v="2"/>
    <x v="4"/>
    <x v="1"/>
    <s v="Sat"/>
    <x v="3"/>
    <n v="2025"/>
  </r>
  <r>
    <n v="10090"/>
    <s v="CUST-7807"/>
    <s v="Hauwa Bello"/>
    <x v="0"/>
    <x v="0"/>
    <n v="2"/>
    <n v="139666"/>
    <n v="10"/>
    <n v="27933"/>
    <n v="251399"/>
    <n v="210000"/>
    <n v="69332"/>
    <x v="63"/>
    <d v="2025-02-07T00:00:00"/>
    <x v="5"/>
    <x v="0"/>
    <x v="4"/>
    <x v="4"/>
    <x v="4"/>
    <s v="Sun"/>
    <x v="3"/>
    <n v="2025"/>
  </r>
  <r>
    <n v="10146"/>
    <s v="CUST-7272"/>
    <s v="Patience Akpan"/>
    <x v="12"/>
    <x v="2"/>
    <n v="1"/>
    <n v="18189"/>
    <n v="5"/>
    <n v="909"/>
    <n v="17280"/>
    <n v="10000"/>
    <n v="8189"/>
    <x v="64"/>
    <d v="2025-02-06T00:00:00"/>
    <x v="0"/>
    <x v="1"/>
    <x v="2"/>
    <x v="1"/>
    <x v="3"/>
    <s v="Mon"/>
    <x v="3"/>
    <n v="2025"/>
  </r>
  <r>
    <n v="10059"/>
    <s v="CUST-4630"/>
    <s v="Sani Abdullahi"/>
    <x v="11"/>
    <x v="3"/>
    <n v="2"/>
    <n v="191221"/>
    <n v="10"/>
    <n v="38244"/>
    <n v="344198"/>
    <n v="260000"/>
    <n v="122442"/>
    <x v="64"/>
    <d v="2025-02-07T00:00:00"/>
    <x v="5"/>
    <x v="3"/>
    <x v="1"/>
    <x v="3"/>
    <x v="3"/>
    <s v="Mon"/>
    <x v="3"/>
    <n v="2025"/>
  </r>
  <r>
    <n v="10092"/>
    <s v="CUST-7464"/>
    <s v="Daniel Okafor"/>
    <x v="10"/>
    <x v="0"/>
    <n v="3"/>
    <n v="853109"/>
    <n v="5"/>
    <n v="127966"/>
    <n v="2431361"/>
    <n v="1950000"/>
    <n v="609327"/>
    <x v="64"/>
    <d v="2025-02-06T00:00:00"/>
    <x v="5"/>
    <x v="2"/>
    <x v="1"/>
    <x v="2"/>
    <x v="2"/>
    <s v="Mon"/>
    <x v="3"/>
    <n v="2025"/>
  </r>
  <r>
    <n v="10189"/>
    <s v="CUST-7698"/>
    <s v="Sani Abdullahi"/>
    <x v="0"/>
    <x v="0"/>
    <n v="2"/>
    <n v="148855"/>
    <n v="5"/>
    <n v="14886"/>
    <n v="282824"/>
    <n v="210000"/>
    <n v="87710"/>
    <x v="65"/>
    <d v="2025-02-08T00:00:00"/>
    <x v="0"/>
    <x v="2"/>
    <x v="0"/>
    <x v="2"/>
    <x v="3"/>
    <s v="Tue"/>
    <x v="3"/>
    <n v="2025"/>
  </r>
  <r>
    <n v="10168"/>
    <s v="CUST-8871"/>
    <s v="Linda Ikeji"/>
    <x v="0"/>
    <x v="0"/>
    <n v="5"/>
    <n v="146871"/>
    <n v="10"/>
    <n v="73436"/>
    <n v="660919"/>
    <n v="525000"/>
    <n v="209355"/>
    <x v="66"/>
    <d v="2025-02-08T00:00:00"/>
    <x v="1"/>
    <x v="2"/>
    <x v="3"/>
    <x v="0"/>
    <x v="2"/>
    <s v="Thu"/>
    <x v="3"/>
    <n v="2025"/>
  </r>
  <r>
    <n v="10005"/>
    <s v="CUST-4733"/>
    <s v="Tunde Adebayo"/>
    <x v="17"/>
    <x v="1"/>
    <n v="1"/>
    <n v="98376"/>
    <n v="0"/>
    <n v="0"/>
    <n v="98376"/>
    <n v="65000"/>
    <n v="33376"/>
    <x v="66"/>
    <d v="2025-02-09T00:00:00"/>
    <x v="0"/>
    <x v="0"/>
    <x v="4"/>
    <x v="4"/>
    <x v="0"/>
    <s v="Thu"/>
    <x v="3"/>
    <n v="2025"/>
  </r>
  <r>
    <n v="10082"/>
    <s v="CUST-7512"/>
    <s v="Jennifer Okeke"/>
    <x v="2"/>
    <x v="0"/>
    <n v="3"/>
    <n v="745369"/>
    <n v="10"/>
    <n v="223611"/>
    <n v="2012496"/>
    <n v="1650000"/>
    <n v="586107"/>
    <x v="66"/>
    <d v="2025-02-09T00:00:00"/>
    <x v="6"/>
    <x v="2"/>
    <x v="2"/>
    <x v="2"/>
    <x v="3"/>
    <s v="Thu"/>
    <x v="3"/>
    <n v="2025"/>
  </r>
  <r>
    <n v="10032"/>
    <s v="CUST-6442"/>
    <s v="Chioma Nnaji"/>
    <x v="13"/>
    <x v="4"/>
    <n v="2"/>
    <n v="24417"/>
    <n v="0"/>
    <n v="0"/>
    <n v="48834"/>
    <n v="30000"/>
    <n v="18834"/>
    <x v="66"/>
    <d v="2025-02-07T00:00:00"/>
    <x v="1"/>
    <x v="1"/>
    <x v="4"/>
    <x v="2"/>
    <x v="4"/>
    <s v="Thu"/>
    <x v="3"/>
    <n v="2025"/>
  </r>
  <r>
    <n v="10080"/>
    <s v="CUST-7730"/>
    <s v="Bukola Saraki"/>
    <x v="1"/>
    <x v="0"/>
    <n v="3"/>
    <n v="973247"/>
    <n v="5"/>
    <n v="145987"/>
    <n v="2773754"/>
    <n v="2250000"/>
    <n v="669741"/>
    <x v="67"/>
    <d v="2025-02-09T00:00:00"/>
    <x v="0"/>
    <x v="0"/>
    <x v="4"/>
    <x v="1"/>
    <x v="1"/>
    <s v="Fri"/>
    <x v="3"/>
    <n v="2025"/>
  </r>
  <r>
    <n v="10035"/>
    <s v="CUST-6139"/>
    <s v="Kelvin Eke"/>
    <x v="13"/>
    <x v="4"/>
    <n v="5"/>
    <n v="26211"/>
    <n v="0"/>
    <n v="0"/>
    <n v="131055"/>
    <n v="75000"/>
    <n v="56055"/>
    <x v="67"/>
    <d v="2025-02-12T00:00:00"/>
    <x v="3"/>
    <x v="3"/>
    <x v="3"/>
    <x v="4"/>
    <x v="1"/>
    <s v="Fri"/>
    <x v="3"/>
    <n v="2025"/>
  </r>
  <r>
    <n v="10033"/>
    <s v="CUST-6000"/>
    <s v="Samuel Adewale"/>
    <x v="4"/>
    <x v="2"/>
    <n v="2"/>
    <n v="33333"/>
    <n v="0"/>
    <n v="0"/>
    <n v="66666"/>
    <n v="40000"/>
    <n v="26666"/>
    <x v="68"/>
    <d v="2025-02-14T00:00:00"/>
    <x v="4"/>
    <x v="0"/>
    <x v="1"/>
    <x v="1"/>
    <x v="3"/>
    <s v="Tue"/>
    <x v="3"/>
    <n v="2025"/>
  </r>
  <r>
    <n v="10020"/>
    <s v="CUST-4872"/>
    <s v="Collins Eze"/>
    <x v="0"/>
    <x v="0"/>
    <n v="4"/>
    <n v="144792"/>
    <n v="0"/>
    <n v="0"/>
    <n v="579168"/>
    <n v="420000"/>
    <n v="159168"/>
    <x v="68"/>
    <d v="2025-02-12T00:00:00"/>
    <x v="3"/>
    <x v="3"/>
    <x v="3"/>
    <x v="2"/>
    <x v="0"/>
    <s v="Tue"/>
    <x v="3"/>
    <n v="2025"/>
  </r>
  <r>
    <n v="10073"/>
    <s v="CUST-8451"/>
    <s v="Tunde Adebayo"/>
    <x v="2"/>
    <x v="0"/>
    <n v="3"/>
    <n v="702173"/>
    <n v="0"/>
    <n v="0"/>
    <n v="2106519"/>
    <n v="1650000"/>
    <n v="456519"/>
    <x v="69"/>
    <d v="2025-02-17T00:00:00"/>
    <x v="1"/>
    <x v="3"/>
    <x v="2"/>
    <x v="1"/>
    <x v="4"/>
    <s v="Wed"/>
    <x v="3"/>
    <n v="2025"/>
  </r>
  <r>
    <n v="10023"/>
    <s v="CUST-4044"/>
    <s v="Blessing Okonkwo"/>
    <x v="2"/>
    <x v="0"/>
    <n v="5"/>
    <n v="688893"/>
    <n v="0"/>
    <n v="0"/>
    <n v="3444465"/>
    <n v="2750000"/>
    <n v="694465"/>
    <x v="69"/>
    <d v="2025-02-13T00:00:00"/>
    <x v="5"/>
    <x v="2"/>
    <x v="2"/>
    <x v="0"/>
    <x v="3"/>
    <s v="Wed"/>
    <x v="3"/>
    <n v="2025"/>
  </r>
  <r>
    <n v="10169"/>
    <s v="CUST-8225"/>
    <s v="Amaka Uzochukwu"/>
    <x v="3"/>
    <x v="1"/>
    <n v="4"/>
    <n v="308846"/>
    <n v="0"/>
    <n v="0"/>
    <n v="1235384"/>
    <n v="960000"/>
    <n v="275384"/>
    <x v="70"/>
    <d v="2025-02-19T00:00:00"/>
    <x v="1"/>
    <x v="2"/>
    <x v="0"/>
    <x v="3"/>
    <x v="2"/>
    <s v="Fri"/>
    <x v="3"/>
    <n v="2025"/>
  </r>
  <r>
    <n v="10095"/>
    <s v="CUST-9850"/>
    <s v="Ahmed Suleiman"/>
    <x v="13"/>
    <x v="4"/>
    <n v="5"/>
    <n v="25606"/>
    <n v="0"/>
    <n v="0"/>
    <n v="128030"/>
    <n v="75000"/>
    <n v="53030"/>
    <x v="71"/>
    <d v="2025-02-16T00:00:00"/>
    <x v="1"/>
    <x v="3"/>
    <x v="2"/>
    <x v="2"/>
    <x v="0"/>
    <s v="Sat"/>
    <x v="3"/>
    <n v="2025"/>
  </r>
  <r>
    <n v="10135"/>
    <s v="CUST-5720"/>
    <s v="Victoria Olatunji"/>
    <x v="4"/>
    <x v="2"/>
    <n v="3"/>
    <n v="33676"/>
    <n v="0"/>
    <n v="0"/>
    <n v="101028"/>
    <n v="60000"/>
    <n v="41028"/>
    <x v="72"/>
    <d v="2025-02-21T00:00:00"/>
    <x v="0"/>
    <x v="3"/>
    <x v="3"/>
    <x v="1"/>
    <x v="3"/>
    <s v="Sun"/>
    <x v="3"/>
    <n v="2025"/>
  </r>
  <r>
    <n v="10041"/>
    <s v="CUST-4997"/>
    <s v="Mercy Chukwu"/>
    <x v="14"/>
    <x v="3"/>
    <n v="1"/>
    <n v="124712"/>
    <n v="0"/>
    <n v="0"/>
    <n v="124712"/>
    <n v="80000"/>
    <n v="44712"/>
    <x v="73"/>
    <d v="2025-02-19T00:00:00"/>
    <x v="3"/>
    <x v="2"/>
    <x v="0"/>
    <x v="3"/>
    <x v="3"/>
    <s v="Mon"/>
    <x v="3"/>
    <n v="2025"/>
  </r>
  <r>
    <n v="10115"/>
    <s v="CUST-1307"/>
    <s v="Hadiza Umar"/>
    <x v="7"/>
    <x v="4"/>
    <n v="1"/>
    <n v="18652"/>
    <n v="10"/>
    <n v="1865"/>
    <n v="16787"/>
    <n v="10000"/>
    <n v="8652"/>
    <x v="74"/>
    <d v="2025-02-23T00:00:00"/>
    <x v="0"/>
    <x v="2"/>
    <x v="1"/>
    <x v="2"/>
    <x v="4"/>
    <s v="Tue"/>
    <x v="3"/>
    <n v="2025"/>
  </r>
  <r>
    <n v="10054"/>
    <s v="CUST-6590"/>
    <s v="Ifunanya Okolie"/>
    <x v="10"/>
    <x v="0"/>
    <n v="4"/>
    <n v="877398"/>
    <n v="0"/>
    <n v="0"/>
    <n v="3509592"/>
    <n v="2600000"/>
    <n v="909592"/>
    <x v="75"/>
    <d v="2025-02-22T00:00:00"/>
    <x v="6"/>
    <x v="3"/>
    <x v="4"/>
    <x v="2"/>
    <x v="2"/>
    <s v="Wed"/>
    <x v="3"/>
    <n v="2025"/>
  </r>
  <r>
    <n v="10026"/>
    <s v="CUST-6718"/>
    <s v="Collins Eze"/>
    <x v="2"/>
    <x v="0"/>
    <n v="2"/>
    <n v="710606"/>
    <n v="0"/>
    <n v="0"/>
    <n v="1421212"/>
    <n v="1100000"/>
    <n v="321212"/>
    <x v="76"/>
    <d v="2025-02-26T00:00:00"/>
    <x v="6"/>
    <x v="2"/>
    <x v="2"/>
    <x v="4"/>
    <x v="3"/>
    <s v="Fri"/>
    <x v="3"/>
    <n v="2025"/>
  </r>
  <r>
    <n v="10019"/>
    <s v="CUST-4006"/>
    <s v="Hadiza Umar"/>
    <x v="18"/>
    <x v="2"/>
    <n v="4"/>
    <n v="175497"/>
    <n v="0"/>
    <n v="0"/>
    <n v="701988"/>
    <n v="520000"/>
    <n v="181988"/>
    <x v="77"/>
    <d v="2025-02-27T00:00:00"/>
    <x v="2"/>
    <x v="2"/>
    <x v="2"/>
    <x v="1"/>
    <x v="1"/>
    <s v="Sat"/>
    <x v="3"/>
    <n v="2025"/>
  </r>
  <r>
    <n v="10111"/>
    <s v="CUST-3579"/>
    <s v="Aisha Ibrahim"/>
    <x v="6"/>
    <x v="2"/>
    <n v="1"/>
    <n v="12209"/>
    <n v="0"/>
    <n v="0"/>
    <n v="12209"/>
    <n v="6500"/>
    <n v="5709"/>
    <x v="77"/>
    <d v="2025-02-26T00:00:00"/>
    <x v="0"/>
    <x v="3"/>
    <x v="0"/>
    <x v="3"/>
    <x v="0"/>
    <s v="Sat"/>
    <x v="3"/>
    <n v="2025"/>
  </r>
  <r>
    <n v="10079"/>
    <s v="CUST-6654"/>
    <s v="Bola Tinubu"/>
    <x v="3"/>
    <x v="1"/>
    <n v="5"/>
    <n v="328412"/>
    <n v="5"/>
    <n v="82103"/>
    <n v="1559957"/>
    <n v="1200000"/>
    <n v="442060"/>
    <x v="78"/>
    <d v="2025-02-28T00:00:00"/>
    <x v="1"/>
    <x v="3"/>
    <x v="4"/>
    <x v="0"/>
    <x v="2"/>
    <s v="Tue"/>
    <x v="3"/>
    <n v="2025"/>
  </r>
  <r>
    <n v="10045"/>
    <s v="CUST-4505"/>
    <s v="Sarah Okon"/>
    <x v="2"/>
    <x v="0"/>
    <n v="4"/>
    <n v="713347"/>
    <n v="10"/>
    <n v="285339"/>
    <n v="2568049"/>
    <n v="2200000"/>
    <n v="653388"/>
    <x v="79"/>
    <d v="2025-03-04T00:00:00"/>
    <x v="2"/>
    <x v="3"/>
    <x v="0"/>
    <x v="0"/>
    <x v="3"/>
    <s v="Fri"/>
    <x v="3"/>
    <n v="2025"/>
  </r>
  <r>
    <n v="10022"/>
    <s v="CUST-9883"/>
    <s v="Linda Ikeji"/>
    <x v="1"/>
    <x v="0"/>
    <n v="3"/>
    <n v="907931"/>
    <n v="10"/>
    <n v="272379"/>
    <n v="2451414"/>
    <n v="2250000"/>
    <n v="473793"/>
    <x v="80"/>
    <d v="2025-03-08T00:00:00"/>
    <x v="1"/>
    <x v="2"/>
    <x v="4"/>
    <x v="3"/>
    <x v="3"/>
    <s v="Mon"/>
    <x v="4"/>
    <n v="2025"/>
  </r>
  <r>
    <n v="10151"/>
    <s v="CUST-3126"/>
    <s v="Maryam Aliyu"/>
    <x v="6"/>
    <x v="2"/>
    <n v="1"/>
    <n v="11479"/>
    <n v="5"/>
    <n v="574"/>
    <n v="10905"/>
    <n v="6500"/>
    <n v="4979"/>
    <x v="80"/>
    <d v="2025-03-08T00:00:00"/>
    <x v="0"/>
    <x v="2"/>
    <x v="2"/>
    <x v="2"/>
    <x v="2"/>
    <s v="Mon"/>
    <x v="4"/>
    <n v="2025"/>
  </r>
  <r>
    <n v="10156"/>
    <s v="CUST-1496"/>
    <s v="Olumide Johnson"/>
    <x v="9"/>
    <x v="4"/>
    <n v="5"/>
    <n v="21537"/>
    <n v="0"/>
    <n v="0"/>
    <n v="107685"/>
    <n v="65000"/>
    <n v="42685"/>
    <x v="81"/>
    <d v="2025-03-06T00:00:00"/>
    <x v="1"/>
    <x v="3"/>
    <x v="1"/>
    <x v="2"/>
    <x v="1"/>
    <s v="Tue"/>
    <x v="4"/>
    <n v="2025"/>
  </r>
  <r>
    <n v="10055"/>
    <s v="CUST-9548"/>
    <s v="Kelvin Eke"/>
    <x v="18"/>
    <x v="2"/>
    <n v="5"/>
    <n v="185548"/>
    <n v="10"/>
    <n v="92774"/>
    <n v="834966"/>
    <n v="650000"/>
    <n v="277740"/>
    <x v="81"/>
    <d v="2025-03-08T00:00:00"/>
    <x v="0"/>
    <x v="0"/>
    <x v="1"/>
    <x v="3"/>
    <x v="2"/>
    <s v="Tue"/>
    <x v="4"/>
    <n v="2025"/>
  </r>
  <r>
    <n v="10186"/>
    <s v="CUST-9525"/>
    <s v="Bukola Saraki"/>
    <x v="7"/>
    <x v="4"/>
    <n v="1"/>
    <n v="18325"/>
    <n v="10"/>
    <n v="1832"/>
    <n v="16493"/>
    <n v="10000"/>
    <n v="8325"/>
    <x v="82"/>
    <d v="2025-03-07T00:00:00"/>
    <x v="5"/>
    <x v="3"/>
    <x v="3"/>
    <x v="2"/>
    <x v="2"/>
    <s v="Thu"/>
    <x v="4"/>
    <n v="2025"/>
  </r>
  <r>
    <n v="10150"/>
    <s v="CUST-4673"/>
    <s v="Chibuzor Madu"/>
    <x v="5"/>
    <x v="3"/>
    <n v="2"/>
    <n v="87483"/>
    <n v="0"/>
    <n v="0"/>
    <n v="174966"/>
    <n v="110000"/>
    <n v="64966"/>
    <x v="83"/>
    <d v="2025-03-08T00:00:00"/>
    <x v="4"/>
    <x v="0"/>
    <x v="2"/>
    <x v="3"/>
    <x v="4"/>
    <s v="Fri"/>
    <x v="4"/>
    <n v="2025"/>
  </r>
  <r>
    <n v="10160"/>
    <s v="CUST-3610"/>
    <s v="Nonso Anene"/>
    <x v="9"/>
    <x v="4"/>
    <n v="5"/>
    <n v="21927"/>
    <n v="0"/>
    <n v="0"/>
    <n v="109635"/>
    <n v="65000"/>
    <n v="44635"/>
    <x v="84"/>
    <d v="2025-03-09T00:00:00"/>
    <x v="2"/>
    <x v="3"/>
    <x v="2"/>
    <x v="2"/>
    <x v="2"/>
    <s v="Sat"/>
    <x v="4"/>
    <n v="2025"/>
  </r>
  <r>
    <n v="10076"/>
    <s v="CUST-2858"/>
    <s v="Ibrahim Musa"/>
    <x v="7"/>
    <x v="4"/>
    <n v="1"/>
    <n v="18266"/>
    <n v="0"/>
    <n v="0"/>
    <n v="18266"/>
    <n v="10000"/>
    <n v="8266"/>
    <x v="84"/>
    <d v="2025-03-11T00:00:00"/>
    <x v="5"/>
    <x v="3"/>
    <x v="0"/>
    <x v="4"/>
    <x v="4"/>
    <s v="Sat"/>
    <x v="4"/>
    <n v="2025"/>
  </r>
  <r>
    <n v="10011"/>
    <s v="CUST-8123"/>
    <s v="Sani Abdullahi"/>
    <x v="0"/>
    <x v="0"/>
    <n v="4"/>
    <n v="137797"/>
    <n v="0"/>
    <n v="0"/>
    <n v="551188"/>
    <n v="420000"/>
    <n v="131188"/>
    <x v="85"/>
    <d v="2025-03-11T00:00:00"/>
    <x v="5"/>
    <x v="1"/>
    <x v="1"/>
    <x v="1"/>
    <x v="2"/>
    <s v="Sun"/>
    <x v="4"/>
    <n v="2025"/>
  </r>
  <r>
    <n v="10114"/>
    <s v="CUST-8055"/>
    <s v="Hauwa Bello"/>
    <x v="0"/>
    <x v="0"/>
    <n v="2"/>
    <n v="143263"/>
    <n v="0"/>
    <n v="0"/>
    <n v="286526"/>
    <n v="210000"/>
    <n v="76526"/>
    <x v="85"/>
    <d v="2025-03-14T00:00:00"/>
    <x v="1"/>
    <x v="3"/>
    <x v="3"/>
    <x v="4"/>
    <x v="1"/>
    <s v="Sun"/>
    <x v="4"/>
    <n v="2025"/>
  </r>
  <r>
    <n v="10185"/>
    <s v="CUST-6927"/>
    <s v="Sarah Okon"/>
    <x v="2"/>
    <x v="0"/>
    <n v="5"/>
    <n v="692079"/>
    <n v="10"/>
    <n v="346040"/>
    <n v="3114355"/>
    <n v="2750000"/>
    <n v="710395"/>
    <x v="86"/>
    <d v="2025-03-12T00:00:00"/>
    <x v="5"/>
    <x v="1"/>
    <x v="4"/>
    <x v="3"/>
    <x v="0"/>
    <s v="Mon"/>
    <x v="4"/>
    <n v="2025"/>
  </r>
  <r>
    <n v="10077"/>
    <s v="CUST-8483"/>
    <s v="Uche Okafor"/>
    <x v="19"/>
    <x v="1"/>
    <n v="2"/>
    <n v="11860"/>
    <n v="10"/>
    <n v="2372"/>
    <n v="21348"/>
    <n v="14000"/>
    <n v="9720"/>
    <x v="87"/>
    <d v="2025-03-13T00:00:00"/>
    <x v="1"/>
    <x v="3"/>
    <x v="1"/>
    <x v="1"/>
    <x v="0"/>
    <s v="Tue"/>
    <x v="4"/>
    <n v="2025"/>
  </r>
  <r>
    <n v="10165"/>
    <s v="CUST-6456"/>
    <s v="Yusuf Bello"/>
    <x v="9"/>
    <x v="4"/>
    <n v="5"/>
    <n v="21905"/>
    <n v="10"/>
    <n v="10952"/>
    <n v="98573"/>
    <n v="65000"/>
    <n v="44525"/>
    <x v="88"/>
    <d v="2025-03-14T00:00:00"/>
    <x v="4"/>
    <x v="1"/>
    <x v="1"/>
    <x v="3"/>
    <x v="4"/>
    <s v="Wed"/>
    <x v="4"/>
    <n v="2025"/>
  </r>
  <r>
    <n v="10170"/>
    <s v="CUST-4397"/>
    <s v="Ruth Bassey"/>
    <x v="19"/>
    <x v="1"/>
    <n v="3"/>
    <n v="12598"/>
    <n v="5"/>
    <n v="1890"/>
    <n v="35904"/>
    <n v="21000"/>
    <n v="16794"/>
    <x v="89"/>
    <d v="2025-03-19T00:00:00"/>
    <x v="4"/>
    <x v="0"/>
    <x v="0"/>
    <x v="0"/>
    <x v="3"/>
    <s v="Sat"/>
    <x v="4"/>
    <n v="2025"/>
  </r>
  <r>
    <n v="10195"/>
    <s v="CUST-9120"/>
    <s v="Fatima Mohammed"/>
    <x v="1"/>
    <x v="0"/>
    <n v="3"/>
    <n v="991951"/>
    <n v="5"/>
    <n v="148793"/>
    <n v="2827060"/>
    <n v="2250000"/>
    <n v="725853"/>
    <x v="89"/>
    <d v="2025-03-18T00:00:00"/>
    <x v="6"/>
    <x v="1"/>
    <x v="0"/>
    <x v="2"/>
    <x v="0"/>
    <s v="Sat"/>
    <x v="4"/>
    <n v="2025"/>
  </r>
  <r>
    <n v="10100"/>
    <s v="CUST-1258"/>
    <s v="David Etim"/>
    <x v="0"/>
    <x v="0"/>
    <n v="3"/>
    <n v="138510"/>
    <n v="5"/>
    <n v="20776"/>
    <n v="394754"/>
    <n v="315000"/>
    <n v="100530"/>
    <x v="89"/>
    <d v="2025-03-16T00:00:00"/>
    <x v="6"/>
    <x v="3"/>
    <x v="0"/>
    <x v="1"/>
    <x v="0"/>
    <s v="Sat"/>
    <x v="4"/>
    <n v="2025"/>
  </r>
  <r>
    <n v="10137"/>
    <s v="CUST-4068"/>
    <s v="Olumide Johnson"/>
    <x v="2"/>
    <x v="0"/>
    <n v="5"/>
    <n v="754175"/>
    <n v="0"/>
    <n v="0"/>
    <n v="3770875"/>
    <n v="2750000"/>
    <n v="1020875"/>
    <x v="89"/>
    <d v="2025-03-20T00:00:00"/>
    <x v="5"/>
    <x v="2"/>
    <x v="2"/>
    <x v="3"/>
    <x v="4"/>
    <s v="Sat"/>
    <x v="4"/>
    <n v="2025"/>
  </r>
  <r>
    <n v="10130"/>
    <s v="CUST-8218"/>
    <s v="Joy Uche"/>
    <x v="7"/>
    <x v="4"/>
    <n v="3"/>
    <n v="18501"/>
    <n v="10"/>
    <n v="5550"/>
    <n v="49953"/>
    <n v="30000"/>
    <n v="25503"/>
    <x v="90"/>
    <d v="2025-03-20T00:00:00"/>
    <x v="3"/>
    <x v="1"/>
    <x v="2"/>
    <x v="0"/>
    <x v="0"/>
    <s v="Sun"/>
    <x v="4"/>
    <n v="2025"/>
  </r>
  <r>
    <n v="10190"/>
    <s v="CUST-6697"/>
    <s v="Yusuf Bello"/>
    <x v="5"/>
    <x v="3"/>
    <n v="2"/>
    <n v="89189"/>
    <n v="5"/>
    <n v="8919"/>
    <n v="169459"/>
    <n v="110000"/>
    <n v="68378"/>
    <x v="90"/>
    <d v="2025-03-18T00:00:00"/>
    <x v="6"/>
    <x v="2"/>
    <x v="3"/>
    <x v="0"/>
    <x v="0"/>
    <s v="Sun"/>
    <x v="4"/>
    <n v="2025"/>
  </r>
  <r>
    <n v="10166"/>
    <s v="CUST-5902"/>
    <s v="Zainab Yusuf"/>
    <x v="12"/>
    <x v="2"/>
    <n v="3"/>
    <n v="18013"/>
    <n v="10"/>
    <n v="5404"/>
    <n v="48635"/>
    <n v="30000"/>
    <n v="24039"/>
    <x v="91"/>
    <d v="2025-03-21T00:00:00"/>
    <x v="6"/>
    <x v="3"/>
    <x v="1"/>
    <x v="3"/>
    <x v="1"/>
    <s v="Mon"/>
    <x v="4"/>
    <n v="2025"/>
  </r>
  <r>
    <n v="10008"/>
    <s v="CUST-8517"/>
    <s v="Mercy Chukwu"/>
    <x v="14"/>
    <x v="3"/>
    <n v="3"/>
    <n v="115676"/>
    <n v="10"/>
    <n v="34703"/>
    <n v="312325"/>
    <n v="240000"/>
    <n v="107028"/>
    <x v="92"/>
    <d v="2025-03-21T00:00:00"/>
    <x v="6"/>
    <x v="3"/>
    <x v="0"/>
    <x v="3"/>
    <x v="0"/>
    <s v="Tue"/>
    <x v="4"/>
    <n v="2025"/>
  </r>
  <r>
    <n v="10044"/>
    <s v="CUST-2269"/>
    <s v="Chiamaka Ibe"/>
    <x v="17"/>
    <x v="1"/>
    <n v="2"/>
    <n v="92831"/>
    <n v="0"/>
    <n v="0"/>
    <n v="185662"/>
    <n v="130000"/>
    <n v="55662"/>
    <x v="93"/>
    <d v="2025-03-20T00:00:00"/>
    <x v="3"/>
    <x v="3"/>
    <x v="4"/>
    <x v="0"/>
    <x v="2"/>
    <s v="Wed"/>
    <x v="4"/>
    <n v="2025"/>
  </r>
  <r>
    <n v="10014"/>
    <s v="CUST-5342"/>
    <s v="Chukwuemeka Obi"/>
    <x v="16"/>
    <x v="1"/>
    <n v="5"/>
    <n v="34731"/>
    <n v="0"/>
    <n v="0"/>
    <n v="173655"/>
    <n v="110000"/>
    <n v="63655"/>
    <x v="93"/>
    <d v="2025-03-21T00:00:00"/>
    <x v="6"/>
    <x v="0"/>
    <x v="0"/>
    <x v="4"/>
    <x v="4"/>
    <s v="Wed"/>
    <x v="4"/>
    <n v="2025"/>
  </r>
  <r>
    <n v="10149"/>
    <s v="CUST-8292"/>
    <s v="Chioma Nnaji"/>
    <x v="2"/>
    <x v="0"/>
    <n v="3"/>
    <n v="732084"/>
    <n v="0"/>
    <n v="0"/>
    <n v="2196252"/>
    <n v="1650000"/>
    <n v="546252"/>
    <x v="94"/>
    <d v="2025-03-26T00:00:00"/>
    <x v="4"/>
    <x v="1"/>
    <x v="4"/>
    <x v="4"/>
    <x v="0"/>
    <s v="Fri"/>
    <x v="4"/>
    <n v="2025"/>
  </r>
  <r>
    <n v="10027"/>
    <s v="CUST-2697"/>
    <s v="Grace John"/>
    <x v="14"/>
    <x v="3"/>
    <n v="3"/>
    <n v="115385"/>
    <n v="0"/>
    <n v="0"/>
    <n v="346155"/>
    <n v="240000"/>
    <n v="106155"/>
    <x v="95"/>
    <d v="2025-03-24T00:00:00"/>
    <x v="4"/>
    <x v="1"/>
    <x v="2"/>
    <x v="4"/>
    <x v="0"/>
    <s v="Sat"/>
    <x v="4"/>
    <n v="2025"/>
  </r>
  <r>
    <n v="10106"/>
    <s v="CUST-7105"/>
    <s v="Hauwa Bello"/>
    <x v="14"/>
    <x v="3"/>
    <n v="5"/>
    <n v="114720"/>
    <n v="10"/>
    <n v="57360"/>
    <n v="516240"/>
    <n v="400000"/>
    <n v="173600"/>
    <x v="96"/>
    <d v="2025-03-27T00:00:00"/>
    <x v="6"/>
    <x v="0"/>
    <x v="0"/>
    <x v="1"/>
    <x v="4"/>
    <s v="Mon"/>
    <x v="4"/>
    <n v="2025"/>
  </r>
  <r>
    <n v="10108"/>
    <s v="CUST-7022"/>
    <s v="Samuel Adewale"/>
    <x v="5"/>
    <x v="3"/>
    <n v="3"/>
    <n v="85630"/>
    <n v="5"/>
    <n v="12844"/>
    <n v="244046"/>
    <n v="165000"/>
    <n v="91890"/>
    <x v="96"/>
    <d v="2025-03-29T00:00:00"/>
    <x v="5"/>
    <x v="0"/>
    <x v="3"/>
    <x v="3"/>
    <x v="1"/>
    <s v="Mon"/>
    <x v="4"/>
    <n v="2025"/>
  </r>
  <r>
    <n v="10042"/>
    <s v="CUST-2988"/>
    <s v="Uche Okafor"/>
    <x v="7"/>
    <x v="4"/>
    <n v="2"/>
    <n v="18543"/>
    <n v="10"/>
    <n v="3709"/>
    <n v="33377"/>
    <n v="20000"/>
    <n v="17086"/>
    <x v="96"/>
    <d v="2025-03-29T00:00:00"/>
    <x v="4"/>
    <x v="3"/>
    <x v="2"/>
    <x v="2"/>
    <x v="3"/>
    <s v="Mon"/>
    <x v="4"/>
    <n v="2025"/>
  </r>
  <r>
    <n v="10056"/>
    <s v="CUST-2419"/>
    <s v="Oluwaseun Akinyemi"/>
    <x v="18"/>
    <x v="2"/>
    <n v="4"/>
    <n v="175390"/>
    <n v="5"/>
    <n v="35078"/>
    <n v="666482"/>
    <n v="520000"/>
    <n v="181560"/>
    <x v="97"/>
    <d v="2025-03-31T00:00:00"/>
    <x v="6"/>
    <x v="2"/>
    <x v="1"/>
    <x v="2"/>
    <x v="4"/>
    <s v="Wed"/>
    <x v="4"/>
    <n v="2025"/>
  </r>
  <r>
    <n v="10107"/>
    <s v="CUST-1842"/>
    <s v="Idris Okoro"/>
    <x v="17"/>
    <x v="1"/>
    <n v="5"/>
    <n v="93218"/>
    <n v="0"/>
    <n v="0"/>
    <n v="466090"/>
    <n v="325000"/>
    <n v="141090"/>
    <x v="98"/>
    <d v="2025-04-02T00:00:00"/>
    <x v="3"/>
    <x v="1"/>
    <x v="0"/>
    <x v="0"/>
    <x v="1"/>
    <s v="Fri"/>
    <x v="4"/>
    <n v="2025"/>
  </r>
  <r>
    <n v="10119"/>
    <s v="CUST-2234"/>
    <s v="Aisha Ibrahim"/>
    <x v="0"/>
    <x v="0"/>
    <n v="4"/>
    <n v="144477"/>
    <n v="10"/>
    <n v="57791"/>
    <n v="520117"/>
    <n v="420000"/>
    <n v="157908"/>
    <x v="99"/>
    <d v="2025-04-02T00:00:00"/>
    <x v="6"/>
    <x v="0"/>
    <x v="2"/>
    <x v="3"/>
    <x v="0"/>
    <s v="Sat"/>
    <x v="4"/>
    <n v="2025"/>
  </r>
  <r>
    <n v="10078"/>
    <s v="CUST-9318"/>
    <s v="Collins Eze"/>
    <x v="18"/>
    <x v="2"/>
    <n v="1"/>
    <n v="176091"/>
    <n v="0"/>
    <n v="0"/>
    <n v="176091"/>
    <n v="130000"/>
    <n v="46091"/>
    <x v="100"/>
    <d v="2025-04-05T00:00:00"/>
    <x v="6"/>
    <x v="3"/>
    <x v="4"/>
    <x v="2"/>
    <x v="3"/>
    <s v="Mon"/>
    <x v="4"/>
    <n v="2025"/>
  </r>
  <r>
    <n v="10061"/>
    <s v="CUST-8933"/>
    <s v="Kemi Ogunleye"/>
    <x v="18"/>
    <x v="2"/>
    <n v="5"/>
    <n v="188579"/>
    <n v="10"/>
    <n v="94290"/>
    <n v="848605"/>
    <n v="650000"/>
    <n v="292895"/>
    <x v="101"/>
    <d v="2025-04-05T00:00:00"/>
    <x v="2"/>
    <x v="1"/>
    <x v="1"/>
    <x v="0"/>
    <x v="0"/>
    <s v="Wed"/>
    <x v="5"/>
    <n v="2025"/>
  </r>
  <r>
    <n v="10167"/>
    <s v="CUST-6427"/>
    <s v="Patience Akpan"/>
    <x v="5"/>
    <x v="3"/>
    <n v="4"/>
    <n v="85711"/>
    <n v="0"/>
    <n v="0"/>
    <n v="342844"/>
    <n v="220000"/>
    <n v="122844"/>
    <x v="101"/>
    <d v="2025-04-06T00:00:00"/>
    <x v="4"/>
    <x v="1"/>
    <x v="2"/>
    <x v="3"/>
    <x v="1"/>
    <s v="Wed"/>
    <x v="5"/>
    <n v="2025"/>
  </r>
  <r>
    <n v="10122"/>
    <s v="CUST-1672"/>
    <s v="Linda Ikeji"/>
    <x v="7"/>
    <x v="4"/>
    <n v="5"/>
    <n v="18273"/>
    <n v="0"/>
    <n v="0"/>
    <n v="91365"/>
    <n v="50000"/>
    <n v="41365"/>
    <x v="102"/>
    <d v="2025-04-08T00:00:00"/>
    <x v="5"/>
    <x v="3"/>
    <x v="3"/>
    <x v="0"/>
    <x v="1"/>
    <s v="Fri"/>
    <x v="5"/>
    <n v="2025"/>
  </r>
  <r>
    <n v="10164"/>
    <s v="CUST-6555"/>
    <s v="Daniel Okafor"/>
    <x v="19"/>
    <x v="1"/>
    <n v="3"/>
    <n v="12306"/>
    <n v="0"/>
    <n v="0"/>
    <n v="36918"/>
    <n v="21000"/>
    <n v="15918"/>
    <x v="102"/>
    <d v="2025-04-09T00:00:00"/>
    <x v="0"/>
    <x v="2"/>
    <x v="3"/>
    <x v="3"/>
    <x v="1"/>
    <s v="Fri"/>
    <x v="5"/>
    <n v="2025"/>
  </r>
  <r>
    <n v="10038"/>
    <s v="CUST-1006"/>
    <s v="Fatima Mohammed"/>
    <x v="17"/>
    <x v="1"/>
    <n v="3"/>
    <n v="92247"/>
    <n v="10"/>
    <n v="27674"/>
    <n v="249067"/>
    <n v="195000"/>
    <n v="81741"/>
    <x v="103"/>
    <d v="2025-04-08T00:00:00"/>
    <x v="0"/>
    <x v="1"/>
    <x v="0"/>
    <x v="2"/>
    <x v="3"/>
    <s v="Sat"/>
    <x v="5"/>
    <n v="2025"/>
  </r>
  <r>
    <n v="10154"/>
    <s v="CUST-4216"/>
    <s v="Tope Balogun"/>
    <x v="19"/>
    <x v="1"/>
    <n v="3"/>
    <n v="11550"/>
    <n v="0"/>
    <n v="0"/>
    <n v="34650"/>
    <n v="21000"/>
    <n v="13650"/>
    <x v="104"/>
    <d v="2025-04-12T00:00:00"/>
    <x v="2"/>
    <x v="1"/>
    <x v="4"/>
    <x v="3"/>
    <x v="2"/>
    <s v="Mon"/>
    <x v="5"/>
    <n v="2025"/>
  </r>
  <r>
    <n v="10031"/>
    <s v="CUST-5088"/>
    <s v="Joy Uche"/>
    <x v="5"/>
    <x v="3"/>
    <n v="3"/>
    <n v="87381"/>
    <n v="5"/>
    <n v="13107"/>
    <n v="249036"/>
    <n v="165000"/>
    <n v="97143"/>
    <x v="105"/>
    <d v="2025-04-10T00:00:00"/>
    <x v="3"/>
    <x v="3"/>
    <x v="4"/>
    <x v="0"/>
    <x v="1"/>
    <s v="Tue"/>
    <x v="5"/>
    <n v="2025"/>
  </r>
  <r>
    <n v="10036"/>
    <s v="CUST-9821"/>
    <s v="Ruth Bassey"/>
    <x v="15"/>
    <x v="2"/>
    <n v="3"/>
    <n v="14897"/>
    <n v="0"/>
    <n v="0"/>
    <n v="44691"/>
    <n v="24000"/>
    <n v="20691"/>
    <x v="106"/>
    <d v="2025-04-12T00:00:00"/>
    <x v="6"/>
    <x v="0"/>
    <x v="1"/>
    <x v="1"/>
    <x v="4"/>
    <s v="Wed"/>
    <x v="5"/>
    <n v="2025"/>
  </r>
  <r>
    <n v="10074"/>
    <s v="CUST-4073"/>
    <s v="Funke Alabi"/>
    <x v="16"/>
    <x v="1"/>
    <n v="3"/>
    <n v="35429"/>
    <n v="5"/>
    <n v="5314"/>
    <n v="100973"/>
    <n v="66000"/>
    <n v="40287"/>
    <x v="107"/>
    <d v="2025-04-14T00:00:00"/>
    <x v="1"/>
    <x v="0"/>
    <x v="4"/>
    <x v="1"/>
    <x v="3"/>
    <s v="Thu"/>
    <x v="5"/>
    <n v="2025"/>
  </r>
  <r>
    <n v="10043"/>
    <s v="CUST-3607"/>
    <s v="Chiamaka Ibe"/>
    <x v="9"/>
    <x v="4"/>
    <n v="4"/>
    <n v="21470"/>
    <n v="0"/>
    <n v="0"/>
    <n v="85880"/>
    <n v="52000"/>
    <n v="33880"/>
    <x v="108"/>
    <d v="2025-04-16T00:00:00"/>
    <x v="1"/>
    <x v="1"/>
    <x v="0"/>
    <x v="3"/>
    <x v="0"/>
    <s v="Sun"/>
    <x v="5"/>
    <n v="2025"/>
  </r>
  <r>
    <n v="10139"/>
    <s v="CUST-6447"/>
    <s v="Victoria Olatunji"/>
    <x v="14"/>
    <x v="3"/>
    <n v="1"/>
    <n v="118228"/>
    <n v="0"/>
    <n v="0"/>
    <n v="118228"/>
    <n v="80000"/>
    <n v="38228"/>
    <x v="109"/>
    <d v="2025-04-16T00:00:00"/>
    <x v="1"/>
    <x v="1"/>
    <x v="0"/>
    <x v="2"/>
    <x v="2"/>
    <s v="Mon"/>
    <x v="5"/>
    <n v="2025"/>
  </r>
  <r>
    <n v="10133"/>
    <s v="CUST-2337"/>
    <s v="Kenneth Udo"/>
    <x v="8"/>
    <x v="3"/>
    <n v="2"/>
    <n v="266789"/>
    <n v="0"/>
    <n v="0"/>
    <n v="533578"/>
    <n v="380000"/>
    <n v="153578"/>
    <x v="110"/>
    <d v="2025-04-19T00:00:00"/>
    <x v="1"/>
    <x v="2"/>
    <x v="4"/>
    <x v="0"/>
    <x v="0"/>
    <s v="Wed"/>
    <x v="5"/>
    <n v="2025"/>
  </r>
  <r>
    <n v="10141"/>
    <s v="CUST-4131"/>
    <s v="Tunde Adebayo"/>
    <x v="17"/>
    <x v="1"/>
    <n v="3"/>
    <n v="98440"/>
    <n v="0"/>
    <n v="0"/>
    <n v="295320"/>
    <n v="195000"/>
    <n v="100320"/>
    <x v="111"/>
    <d v="2025-04-20T00:00:00"/>
    <x v="4"/>
    <x v="3"/>
    <x v="1"/>
    <x v="1"/>
    <x v="4"/>
    <s v="Thu"/>
    <x v="5"/>
    <n v="2025"/>
  </r>
  <r>
    <n v="10161"/>
    <s v="CUST-6781"/>
    <s v="Kemi Ogunleye"/>
    <x v="1"/>
    <x v="0"/>
    <n v="1"/>
    <n v="929229"/>
    <n v="10"/>
    <n v="92923"/>
    <n v="836306"/>
    <n v="750000"/>
    <n v="179229"/>
    <x v="111"/>
    <d v="2025-04-21T00:00:00"/>
    <x v="4"/>
    <x v="2"/>
    <x v="3"/>
    <x v="3"/>
    <x v="4"/>
    <s v="Thu"/>
    <x v="5"/>
    <n v="2025"/>
  </r>
  <r>
    <n v="10021"/>
    <s v="CUST-8454"/>
    <s v="Collins Eze"/>
    <x v="17"/>
    <x v="1"/>
    <n v="4"/>
    <n v="96868"/>
    <n v="10"/>
    <n v="38747"/>
    <n v="348725"/>
    <n v="260000"/>
    <n v="127472"/>
    <x v="112"/>
    <d v="2025-04-23T00:00:00"/>
    <x v="3"/>
    <x v="1"/>
    <x v="1"/>
    <x v="0"/>
    <x v="1"/>
    <s v="Sat"/>
    <x v="5"/>
    <n v="2025"/>
  </r>
  <r>
    <n v="10182"/>
    <s v="CUST-1187"/>
    <s v="Grace John"/>
    <x v="18"/>
    <x v="2"/>
    <n v="3"/>
    <n v="183470"/>
    <n v="0"/>
    <n v="0"/>
    <n v="550410"/>
    <n v="390000"/>
    <n v="160410"/>
    <x v="113"/>
    <d v="2025-04-21T00:00:00"/>
    <x v="0"/>
    <x v="3"/>
    <x v="4"/>
    <x v="4"/>
    <x v="3"/>
    <s v="Sun"/>
    <x v="5"/>
    <n v="2025"/>
  </r>
  <r>
    <n v="10037"/>
    <s v="CUST-7592"/>
    <s v="David Etim"/>
    <x v="17"/>
    <x v="1"/>
    <n v="5"/>
    <n v="91459"/>
    <n v="5"/>
    <n v="22865"/>
    <n v="434430"/>
    <n v="325000"/>
    <n v="132295"/>
    <x v="113"/>
    <d v="2025-04-24T00:00:00"/>
    <x v="6"/>
    <x v="0"/>
    <x v="2"/>
    <x v="0"/>
    <x v="4"/>
    <s v="Sun"/>
    <x v="5"/>
    <n v="2025"/>
  </r>
  <r>
    <n v="10047"/>
    <s v="CUST-5471"/>
    <s v="Ibrahim Musa"/>
    <x v="13"/>
    <x v="4"/>
    <n v="4"/>
    <n v="23823"/>
    <n v="0"/>
    <n v="0"/>
    <n v="95292"/>
    <n v="60000"/>
    <n v="35292"/>
    <x v="114"/>
    <d v="2025-04-25T00:00:00"/>
    <x v="6"/>
    <x v="1"/>
    <x v="0"/>
    <x v="0"/>
    <x v="3"/>
    <s v="Mon"/>
    <x v="5"/>
    <n v="2025"/>
  </r>
  <r>
    <n v="10187"/>
    <s v="CUST-7806"/>
    <s v="Chibuzor Madu"/>
    <x v="7"/>
    <x v="4"/>
    <n v="5"/>
    <n v="17204"/>
    <n v="5"/>
    <n v="4301"/>
    <n v="81719"/>
    <n v="50000"/>
    <n v="36020"/>
    <x v="115"/>
    <d v="2025-04-25T00:00:00"/>
    <x v="6"/>
    <x v="0"/>
    <x v="0"/>
    <x v="1"/>
    <x v="1"/>
    <s v="Tue"/>
    <x v="5"/>
    <n v="2025"/>
  </r>
  <r>
    <n v="10052"/>
    <s v="CUST-2771"/>
    <s v="Grace John"/>
    <x v="12"/>
    <x v="2"/>
    <n v="1"/>
    <n v="18772"/>
    <n v="10"/>
    <n v="1877"/>
    <n v="16895"/>
    <n v="10000"/>
    <n v="8772"/>
    <x v="116"/>
    <d v="2025-04-27T00:00:00"/>
    <x v="0"/>
    <x v="1"/>
    <x v="3"/>
    <x v="0"/>
    <x v="1"/>
    <s v="Wed"/>
    <x v="5"/>
    <n v="2025"/>
  </r>
  <r>
    <n v="10112"/>
    <s v="CUST-9394"/>
    <s v="Kemi Ogunleye"/>
    <x v="5"/>
    <x v="3"/>
    <n v="3"/>
    <n v="84404"/>
    <n v="0"/>
    <n v="0"/>
    <n v="253212"/>
    <n v="165000"/>
    <n v="88212"/>
    <x v="116"/>
    <d v="2025-04-28T00:00:00"/>
    <x v="0"/>
    <x v="2"/>
    <x v="1"/>
    <x v="3"/>
    <x v="2"/>
    <s v="Wed"/>
    <x v="5"/>
    <n v="2025"/>
  </r>
  <r>
    <n v="10145"/>
    <s v="CUST-9406"/>
    <s v="Patience Akpan"/>
    <x v="0"/>
    <x v="0"/>
    <n v="1"/>
    <n v="139820"/>
    <n v="10"/>
    <n v="13982"/>
    <n v="125838"/>
    <n v="105000"/>
    <n v="34820"/>
    <x v="116"/>
    <d v="2025-04-27T00:00:00"/>
    <x v="2"/>
    <x v="1"/>
    <x v="3"/>
    <x v="0"/>
    <x v="0"/>
    <s v="Wed"/>
    <x v="5"/>
    <n v="2025"/>
  </r>
  <r>
    <n v="10163"/>
    <s v="CUST-9261"/>
    <s v="Kenneth Udo"/>
    <x v="7"/>
    <x v="4"/>
    <n v="5"/>
    <n v="17603"/>
    <n v="10"/>
    <n v="8802"/>
    <n v="79213"/>
    <n v="50000"/>
    <n v="38015"/>
    <x v="117"/>
    <d v="2025-04-29T00:00:00"/>
    <x v="2"/>
    <x v="3"/>
    <x v="3"/>
    <x v="0"/>
    <x v="0"/>
    <s v="Thu"/>
    <x v="5"/>
    <n v="2025"/>
  </r>
  <r>
    <n v="10010"/>
    <s v="CUST-8668"/>
    <s v="Kenneth Udo"/>
    <x v="16"/>
    <x v="1"/>
    <n v="3"/>
    <n v="36649"/>
    <n v="0"/>
    <n v="0"/>
    <n v="109947"/>
    <n v="66000"/>
    <n v="43947"/>
    <x v="117"/>
    <d v="2025-04-25T00:00:00"/>
    <x v="6"/>
    <x v="0"/>
    <x v="1"/>
    <x v="3"/>
    <x v="1"/>
    <s v="Thu"/>
    <x v="5"/>
    <n v="2025"/>
  </r>
  <r>
    <n v="10058"/>
    <s v="CUST-2402"/>
    <s v="Femi Adeyemi"/>
    <x v="4"/>
    <x v="2"/>
    <n v="4"/>
    <n v="34960"/>
    <n v="0"/>
    <n v="0"/>
    <n v="139840"/>
    <n v="80000"/>
    <n v="59840"/>
    <x v="118"/>
    <d v="2025-04-30T00:00:00"/>
    <x v="6"/>
    <x v="2"/>
    <x v="0"/>
    <x v="2"/>
    <x v="1"/>
    <s v="Sat"/>
    <x v="5"/>
    <n v="2025"/>
  </r>
  <r>
    <n v="10128"/>
    <s v="CUST-3147"/>
    <s v="Cynthia Nwosu"/>
    <x v="6"/>
    <x v="2"/>
    <n v="4"/>
    <n v="11585"/>
    <n v="0"/>
    <n v="0"/>
    <n v="46340"/>
    <n v="26000"/>
    <n v="20340"/>
    <x v="119"/>
    <d v="2025-05-02T00:00:00"/>
    <x v="1"/>
    <x v="2"/>
    <x v="0"/>
    <x v="0"/>
    <x v="4"/>
    <s v="Sun"/>
    <x v="5"/>
    <n v="2025"/>
  </r>
  <r>
    <n v="10148"/>
    <s v="CUST-5264"/>
    <s v="Victoria Olatunji"/>
    <x v="7"/>
    <x v="4"/>
    <n v="2"/>
    <n v="18893"/>
    <n v="0"/>
    <n v="0"/>
    <n v="37786"/>
    <n v="20000"/>
    <n v="17786"/>
    <x v="119"/>
    <d v="2025-05-01T00:00:00"/>
    <x v="3"/>
    <x v="2"/>
    <x v="4"/>
    <x v="1"/>
    <x v="4"/>
    <s v="Sun"/>
    <x v="5"/>
    <n v="2025"/>
  </r>
  <r>
    <n v="10142"/>
    <s v="CUST-8204"/>
    <s v="Hauwa Bello"/>
    <x v="11"/>
    <x v="3"/>
    <n v="3"/>
    <n v="204238"/>
    <n v="5"/>
    <n v="30636"/>
    <n v="582078"/>
    <n v="390000"/>
    <n v="222714"/>
    <x v="119"/>
    <d v="2025-05-01T00:00:00"/>
    <x v="4"/>
    <x v="2"/>
    <x v="1"/>
    <x v="3"/>
    <x v="4"/>
    <s v="Sun"/>
    <x v="5"/>
    <n v="2025"/>
  </r>
  <r>
    <n v="10188"/>
    <s v="CUST-4570"/>
    <s v="Hauwa Bello"/>
    <x v="12"/>
    <x v="2"/>
    <n v="1"/>
    <n v="17182"/>
    <n v="0"/>
    <n v="0"/>
    <n v="17182"/>
    <n v="10000"/>
    <n v="7182"/>
    <x v="120"/>
    <d v="2025-04-30T00:00:00"/>
    <x v="5"/>
    <x v="3"/>
    <x v="3"/>
    <x v="1"/>
    <x v="1"/>
    <s v="Tue"/>
    <x v="5"/>
    <n v="2025"/>
  </r>
  <r>
    <n v="10069"/>
    <s v="CUST-5728"/>
    <s v="Hauwa Bello"/>
    <x v="7"/>
    <x v="4"/>
    <n v="1"/>
    <n v="17944"/>
    <n v="0"/>
    <n v="0"/>
    <n v="17944"/>
    <n v="10000"/>
    <n v="7944"/>
    <x v="120"/>
    <d v="2025-05-03T00:00:00"/>
    <x v="4"/>
    <x v="3"/>
    <x v="2"/>
    <x v="3"/>
    <x v="4"/>
    <s v="Tue"/>
    <x v="5"/>
    <n v="2025"/>
  </r>
  <r>
    <n v="10051"/>
    <s v="CUST-8758"/>
    <s v="Yusuf Bello"/>
    <x v="5"/>
    <x v="3"/>
    <n v="5"/>
    <n v="88806"/>
    <n v="5"/>
    <n v="22202"/>
    <n v="421828"/>
    <n v="275000"/>
    <n v="169030"/>
    <x v="120"/>
    <d v="2025-05-02T00:00:00"/>
    <x v="1"/>
    <x v="2"/>
    <x v="4"/>
    <x v="4"/>
    <x v="2"/>
    <s v="Tue"/>
    <x v="5"/>
    <n v="2025"/>
  </r>
  <r>
    <n v="10029"/>
    <s v="CUST-3143"/>
    <s v="Victoria Olatunji"/>
    <x v="18"/>
    <x v="2"/>
    <n v="2"/>
    <n v="184342"/>
    <n v="10"/>
    <n v="36868"/>
    <n v="331816"/>
    <n v="260000"/>
    <n v="108684"/>
    <x v="121"/>
    <d v="2025-05-04T00:00:00"/>
    <x v="5"/>
    <x v="2"/>
    <x v="3"/>
    <x v="1"/>
    <x v="2"/>
    <s v="Wed"/>
    <x v="5"/>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1D503B-72CD-4411-9287-14911DE8617A}" name="PT_Sales_region"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8:B56" firstHeaderRow="1" firstDataRow="1" firstDataCol="1"/>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axis="axisRow"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Fields count="1">
    <field x="14"/>
  </rowFields>
  <rowItems count="8">
    <i>
      <x/>
    </i>
    <i>
      <x v="1"/>
    </i>
    <i>
      <x v="2"/>
    </i>
    <i>
      <x v="3"/>
    </i>
    <i>
      <x v="4"/>
    </i>
    <i>
      <x v="5"/>
    </i>
    <i>
      <x v="6"/>
    </i>
    <i t="grand">
      <x/>
    </i>
  </rowItems>
  <colItems count="1">
    <i/>
  </colItems>
  <dataFields count="1">
    <dataField name="Sum of Total_Sales_NGN" fld="9" baseField="0" baseItem="0" numFmtId="166"/>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8C5EF6-1B3D-4570-9578-862FA3A1582F}" name="PT_Sales_Channel"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D48:E54" firstHeaderRow="1" firstDataRow="1" firstDataCol="1"/>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axis="axisRow"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Fields count="1">
    <field x="16"/>
  </rowFields>
  <rowItems count="6">
    <i>
      <x/>
    </i>
    <i>
      <x v="1"/>
    </i>
    <i>
      <x v="2"/>
    </i>
    <i>
      <x v="3"/>
    </i>
    <i>
      <x v="4"/>
    </i>
    <i t="grand">
      <x/>
    </i>
  </rowItems>
  <colItems count="1">
    <i/>
  </colItems>
  <dataFields count="1">
    <dataField name="Sum of Total_Sales_NGN" fld="9" baseField="0" baseItem="0" numFmtId="166"/>
  </dataFields>
  <formats count="1">
    <format dxfId="18">
      <pivotArea outline="0" collapsedLevelsAreSubtotals="1" fieldPosition="0"/>
    </format>
  </formats>
  <chartFormats count="19">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16" count="1" selected="0">
            <x v="0"/>
          </reference>
        </references>
      </pivotArea>
    </chartFormat>
    <chartFormat chart="7" format="21">
      <pivotArea type="data" outline="0" fieldPosition="0">
        <references count="2">
          <reference field="4294967294" count="1" selected="0">
            <x v="0"/>
          </reference>
          <reference field="16" count="1" selected="0">
            <x v="1"/>
          </reference>
        </references>
      </pivotArea>
    </chartFormat>
    <chartFormat chart="7" format="22">
      <pivotArea type="data" outline="0" fieldPosition="0">
        <references count="2">
          <reference field="4294967294" count="1" selected="0">
            <x v="0"/>
          </reference>
          <reference field="16" count="1" selected="0">
            <x v="2"/>
          </reference>
        </references>
      </pivotArea>
    </chartFormat>
    <chartFormat chart="7" format="23">
      <pivotArea type="data" outline="0" fieldPosition="0">
        <references count="2">
          <reference field="4294967294" count="1" selected="0">
            <x v="0"/>
          </reference>
          <reference field="16" count="1" selected="0">
            <x v="3"/>
          </reference>
        </references>
      </pivotArea>
    </chartFormat>
    <chartFormat chart="7" format="24">
      <pivotArea type="data" outline="0" fieldPosition="0">
        <references count="2">
          <reference field="4294967294" count="1" selected="0">
            <x v="0"/>
          </reference>
          <reference field="16" count="1" selected="0">
            <x v="4"/>
          </reference>
        </references>
      </pivotArea>
    </chartFormat>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16" count="1" selected="0">
            <x v="0"/>
          </reference>
        </references>
      </pivotArea>
    </chartFormat>
    <chartFormat chart="15" format="3">
      <pivotArea type="data" outline="0" fieldPosition="0">
        <references count="2">
          <reference field="4294967294" count="1" selected="0">
            <x v="0"/>
          </reference>
          <reference field="16" count="1" selected="0">
            <x v="1"/>
          </reference>
        </references>
      </pivotArea>
    </chartFormat>
    <chartFormat chart="15" format="4">
      <pivotArea type="data" outline="0" fieldPosition="0">
        <references count="2">
          <reference field="4294967294" count="1" selected="0">
            <x v="0"/>
          </reference>
          <reference field="16" count="1" selected="0">
            <x v="2"/>
          </reference>
        </references>
      </pivotArea>
    </chartFormat>
    <chartFormat chart="15" format="5">
      <pivotArea type="data" outline="0" fieldPosition="0">
        <references count="2">
          <reference field="4294967294" count="1" selected="0">
            <x v="0"/>
          </reference>
          <reference field="16" count="1" selected="0">
            <x v="3"/>
          </reference>
        </references>
      </pivotArea>
    </chartFormat>
    <chartFormat chart="15" format="6">
      <pivotArea type="data" outline="0" fieldPosition="0">
        <references count="2">
          <reference field="4294967294" count="1" selected="0">
            <x v="0"/>
          </reference>
          <reference field="16" count="1" selected="0">
            <x v="4"/>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6" count="1" selected="0">
            <x v="0"/>
          </reference>
        </references>
      </pivotArea>
    </chartFormat>
    <chartFormat chart="16" format="9">
      <pivotArea type="data" outline="0" fieldPosition="0">
        <references count="2">
          <reference field="4294967294" count="1" selected="0">
            <x v="0"/>
          </reference>
          <reference field="16" count="1" selected="0">
            <x v="1"/>
          </reference>
        </references>
      </pivotArea>
    </chartFormat>
    <chartFormat chart="16" format="10">
      <pivotArea type="data" outline="0" fieldPosition="0">
        <references count="2">
          <reference field="4294967294" count="1" selected="0">
            <x v="0"/>
          </reference>
          <reference field="16" count="1" selected="0">
            <x v="2"/>
          </reference>
        </references>
      </pivotArea>
    </chartFormat>
    <chartFormat chart="16" format="11">
      <pivotArea type="data" outline="0" fieldPosition="0">
        <references count="2">
          <reference field="4294967294" count="1" selected="0">
            <x v="0"/>
          </reference>
          <reference field="16" count="1" selected="0">
            <x v="3"/>
          </reference>
        </references>
      </pivotArea>
    </chartFormat>
    <chartFormat chart="16"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21465D-59CF-4289-8B5C-3CB4B58EA18B}" name="PT_Profit"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28:C29" firstHeaderRow="1" firstDataRow="1" firstDataCol="0"/>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showAll="0"/>
    <pivotField showAll="0"/>
    <pivotField dataField="1"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Items count="1">
    <i/>
  </rowItems>
  <colItems count="1">
    <i/>
  </colItems>
  <dataFields count="1">
    <dataField name="Sum of Profit_NGN" fld="11" baseField="0" baseItem="0" numFmtId="166"/>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99962-7287-4D4F-B1CB-58FAC282EB38}" name="PT_Category"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38:F44" firstHeaderRow="1" firstDataRow="1" firstDataCol="1"/>
  <pivotFields count="22">
    <pivotField showAll="0"/>
    <pivotField showAll="0"/>
    <pivotField showAll="0"/>
    <pivotField showAll="0"/>
    <pivotField axis="axisRow"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Fields count="1">
    <field x="4"/>
  </rowFields>
  <rowItems count="6">
    <i>
      <x/>
    </i>
    <i>
      <x v="1"/>
    </i>
    <i>
      <x v="2"/>
    </i>
    <i>
      <x v="3"/>
    </i>
    <i>
      <x v="4"/>
    </i>
    <i t="grand">
      <x/>
    </i>
  </rowItems>
  <colItems count="1">
    <i/>
  </colItems>
  <dataFields count="1">
    <dataField name="Sum of Total_Sales_NGN" fld="9" baseField="0" baseItem="0" numFmtId="166"/>
  </dataFields>
  <formats count="1">
    <format dxfId="2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5267D4-BA7A-4B9A-AC74-25839B53E46F}" name="PT_Total_revenue"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3:A34" firstHeaderRow="1" firstDataRow="1" firstDataCol="0"/>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Items count="1">
    <i/>
  </rowItems>
  <colItems count="1">
    <i/>
  </colItems>
  <dataFields count="1">
    <dataField name="Sum of Total_Revenue_NGN" fld="9" baseField="0" baseItem="0" numFmtId="166"/>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FDA6A2-FCA9-4236-B0E2-A840C2C96482}" name="PT_AOV"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3:C34" firstHeaderRow="1" firstDataRow="1" firstDataCol="0"/>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Items count="1">
    <i/>
  </rowItems>
  <colItems count="1">
    <i/>
  </colItems>
  <dataFields count="1">
    <dataField name="Average of Total_Sales_NGN" fld="9" subtotal="average" baseField="0" baseItem="0" numFmtId="166"/>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5814C6-DC38-4134-9A61-53D1B773EA7F}" name="PT_Order"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8:A29" firstHeaderRow="1" firstDataRow="1" firstDataCol="0"/>
  <pivotFields count="22">
    <pivotField dataField="1" showAll="0"/>
    <pivotField showAll="0"/>
    <pivotField showAll="0"/>
    <pivotField showAll="0"/>
    <pivotField showAll="0">
      <items count="6">
        <item x="2"/>
        <item x="1"/>
        <item x="0"/>
        <item x="4"/>
        <item x="3"/>
        <item t="default"/>
      </items>
    </pivotField>
    <pivotField numFmtId="1" showAll="0"/>
    <pivotField showAll="0"/>
    <pivotField showAll="0"/>
    <pivotField showAll="0"/>
    <pivotField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785A8D-CFD1-4013-B07F-C1004CDF1A81}" name="_T_Sales_Channel"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G48:H54" firstHeaderRow="1" firstDataRow="1" firstDataCol="1"/>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axis="axisRow" showAll="0">
      <items count="6">
        <item x="1"/>
        <item x="2"/>
        <item x="0"/>
        <item x="4"/>
        <item x="3"/>
        <item t="default"/>
      </items>
    </pivotField>
    <pivotField showAll="0"/>
    <pivotField showAll="0"/>
    <pivotField showAll="0"/>
    <pivotField showAll="0"/>
  </pivotFields>
  <rowFields count="1">
    <field x="17"/>
  </rowFields>
  <rowItems count="6">
    <i>
      <x/>
    </i>
    <i>
      <x v="1"/>
    </i>
    <i>
      <x v="2"/>
    </i>
    <i>
      <x v="3"/>
    </i>
    <i>
      <x v="4"/>
    </i>
    <i t="grand">
      <x/>
    </i>
  </rowItems>
  <colItems count="1">
    <i/>
  </colItems>
  <dataFields count="1">
    <dataField name="Sum of Total_Sales_NGN" fld="9" baseField="0" baseItem="0" numFmtId="166"/>
  </dataFields>
  <formats count="1">
    <format dxfId="23">
      <pivotArea outline="0" collapsedLevelsAreSubtotals="1" fieldPosition="0"/>
    </format>
  </format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7" count="1" selected="0">
            <x v="0"/>
          </reference>
        </references>
      </pivotArea>
    </chartFormat>
    <chartFormat chart="7" format="9">
      <pivotArea type="data" outline="0" fieldPosition="0">
        <references count="2">
          <reference field="4294967294" count="1" selected="0">
            <x v="0"/>
          </reference>
          <reference field="17" count="1" selected="0">
            <x v="1"/>
          </reference>
        </references>
      </pivotArea>
    </chartFormat>
    <chartFormat chart="7" format="10">
      <pivotArea type="data" outline="0" fieldPosition="0">
        <references count="2">
          <reference field="4294967294" count="1" selected="0">
            <x v="0"/>
          </reference>
          <reference field="17" count="1" selected="0">
            <x v="2"/>
          </reference>
        </references>
      </pivotArea>
    </chartFormat>
    <chartFormat chart="7" format="11">
      <pivotArea type="data" outline="0" fieldPosition="0">
        <references count="2">
          <reference field="4294967294" count="1" selected="0">
            <x v="0"/>
          </reference>
          <reference field="17" count="1" selected="0">
            <x v="3"/>
          </reference>
        </references>
      </pivotArea>
    </chartFormat>
    <chartFormat chart="7" format="12">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BF1C60-3D5C-4007-9799-F7820E486878}" name="PT_sales_trend"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8:C45" firstHeaderRow="0" firstDataRow="1" firstDataCol="1"/>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dataField="1" showAll="0"/>
    <pivotField showAll="0"/>
    <pivotField dataField="1"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showAll="0"/>
    <pivotField showAll="0"/>
    <pivotField axis="axisRow" showAll="0">
      <items count="7">
        <item x="2"/>
        <item x="3"/>
        <item x="4"/>
        <item x="5"/>
        <item x="0"/>
        <item x="1"/>
        <item t="default"/>
      </items>
    </pivotField>
    <pivotField showAll="0"/>
  </pivotFields>
  <rowFields count="1">
    <field x="20"/>
  </rowFields>
  <rowItems count="7">
    <i>
      <x/>
    </i>
    <i>
      <x v="1"/>
    </i>
    <i>
      <x v="2"/>
    </i>
    <i>
      <x v="3"/>
    </i>
    <i>
      <x v="4"/>
    </i>
    <i>
      <x v="5"/>
    </i>
    <i t="grand">
      <x/>
    </i>
  </rowItems>
  <colFields count="1">
    <field x="-2"/>
  </colFields>
  <colItems count="2">
    <i>
      <x/>
    </i>
    <i i="1">
      <x v="1"/>
    </i>
  </colItems>
  <dataFields count="2">
    <dataField name="Sum of Total_Sales_NGN" fld="9" baseField="0" baseItem="0"/>
    <dataField name="Sum of Profit_NGN" fld="11" baseField="0" baseItem="0" numFmtId="166"/>
  </dataFields>
  <formats count="3">
    <format dxfId="26">
      <pivotArea field="20" grandRow="1" outline="0" collapsedLevelsAreSubtotals="1" axis="axisRow" fieldPosition="0">
        <references count="1">
          <reference field="4294967294" count="1" selected="0">
            <x v="0"/>
          </reference>
        </references>
      </pivotArea>
    </format>
    <format dxfId="25">
      <pivotArea collapsedLevelsAreSubtotals="1" fieldPosition="0">
        <references count="2">
          <reference field="4294967294" count="1" selected="0">
            <x v="0"/>
          </reference>
          <reference field="20" count="0"/>
        </references>
      </pivotArea>
    </format>
    <format dxfId="24">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C3BCB3-D110-4815-9C54-C8DC2EAA8244}" name="PT_Sales_rep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0:B66" firstHeaderRow="1" firstDataRow="1" firstDataCol="1"/>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axis="axisRow" showAll="0">
      <items count="6">
        <item x="0"/>
        <item x="1"/>
        <item x="3"/>
        <item x="4"/>
        <item x="2"/>
        <item t="default"/>
      </items>
    </pivotField>
    <pivotField showAll="0"/>
    <pivotField showAll="0"/>
    <pivotField showAll="0"/>
  </pivotFields>
  <rowFields count="1">
    <field x="18"/>
  </rowFields>
  <rowItems count="6">
    <i>
      <x/>
    </i>
    <i>
      <x v="1"/>
    </i>
    <i>
      <x v="2"/>
    </i>
    <i>
      <x v="3"/>
    </i>
    <i>
      <x v="4"/>
    </i>
    <i t="grand">
      <x/>
    </i>
  </rowItems>
  <colItems count="1">
    <i/>
  </colItems>
  <dataFields count="1">
    <dataField name="Sum of Total_Sales_NGN" fld="9" baseField="0" baseItem="0" numFmtId="166"/>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8DA6F7-2B5C-4B54-8015-10087BF375DD}" name="PT_top5_product"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E27:F33" firstHeaderRow="1" firstDataRow="1" firstDataCol="1"/>
  <pivotFields count="22">
    <pivotField showAll="0"/>
    <pivotField showAll="0"/>
    <pivotField showAll="0"/>
    <pivotField axis="axisRow" showAll="0" measureFilter="1">
      <items count="21">
        <item x="18"/>
        <item x="12"/>
        <item x="16"/>
        <item x="11"/>
        <item x="19"/>
        <item x="0"/>
        <item x="1"/>
        <item x="10"/>
        <item x="4"/>
        <item x="13"/>
        <item x="17"/>
        <item x="5"/>
        <item x="3"/>
        <item x="2"/>
        <item x="8"/>
        <item x="14"/>
        <item x="6"/>
        <item x="15"/>
        <item x="7"/>
        <item x="9"/>
        <item t="default"/>
      </items>
    </pivotField>
    <pivotField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showAll="0"/>
    <pivotField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Fields count="1">
    <field x="3"/>
  </rowFields>
  <rowItems count="6">
    <i>
      <x v="5"/>
    </i>
    <i>
      <x v="6"/>
    </i>
    <i>
      <x v="7"/>
    </i>
    <i>
      <x v="12"/>
    </i>
    <i>
      <x v="13"/>
    </i>
    <i t="grand">
      <x/>
    </i>
  </rowItems>
  <colItems count="1">
    <i/>
  </colItems>
  <dataFields count="1">
    <dataField name="Sum of Total_Sales_NGN"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6ED2A3-4E5B-4051-ADA5-DCFC995F1A2B}" name="PT_Segmentation"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60:E65" firstHeaderRow="1" firstDataRow="1" firstDataCol="1"/>
  <pivotFields count="22">
    <pivotField showAll="0"/>
    <pivotField showAll="0"/>
    <pivotField showAll="0"/>
    <pivotField showAll="0"/>
    <pivotField showAll="0">
      <items count="6">
        <item x="2"/>
        <item x="1"/>
        <item x="0"/>
        <item x="4"/>
        <item x="3"/>
        <item t="default"/>
      </items>
    </pivotField>
    <pivotField numFmtId="1" showAll="0"/>
    <pivotField showAll="0"/>
    <pivotField showAll="0"/>
    <pivotField showAll="0"/>
    <pivotField dataField="1" showAll="0"/>
    <pivotField showAll="0"/>
    <pivotField showAll="0"/>
    <pivotField numFmtId="164" showAll="0">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numFmtId="164" showAll="0"/>
    <pivotField showAll="0">
      <items count="8">
        <item x="3"/>
        <item x="6"/>
        <item x="5"/>
        <item x="1"/>
        <item x="0"/>
        <item x="2"/>
        <item x="4"/>
        <item t="default"/>
      </items>
    </pivotField>
    <pivotField axis="axisRow" showAll="0">
      <items count="5">
        <item x="2"/>
        <item x="3"/>
        <item x="1"/>
        <item x="0"/>
        <item t="default"/>
      </items>
    </pivotField>
    <pivotField showAll="0">
      <items count="6">
        <item x="4"/>
        <item x="2"/>
        <item x="0"/>
        <item x="3"/>
        <item x="1"/>
        <item t="default"/>
      </items>
    </pivotField>
    <pivotField showAll="0">
      <items count="6">
        <item x="1"/>
        <item x="2"/>
        <item x="0"/>
        <item x="4"/>
        <item x="3"/>
        <item t="default"/>
      </items>
    </pivotField>
    <pivotField showAll="0"/>
    <pivotField showAll="0"/>
    <pivotField showAll="0"/>
    <pivotField showAll="0"/>
  </pivotFields>
  <rowFields count="1">
    <field x="15"/>
  </rowFields>
  <rowItems count="5">
    <i>
      <x/>
    </i>
    <i>
      <x v="1"/>
    </i>
    <i>
      <x v="2"/>
    </i>
    <i>
      <x v="3"/>
    </i>
    <i t="grand">
      <x/>
    </i>
  </rowItems>
  <colItems count="1">
    <i/>
  </colItems>
  <dataFields count="1">
    <dataField name="Sum of Total_Sales_NGN" fld="9" baseField="0" baseItem="0" numFmtId="166"/>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2810CC-41F4-483F-AC85-E6AA1D2BD0E8}" sourceName="Category">
  <pivotTables>
    <pivotTable tabId="2" name="PT_Sales_reps"/>
    <pivotTable tabId="2" name="PT_Segmentation"/>
    <pivotTable tabId="2" name="_T_Sales_Channel"/>
    <pivotTable tabId="2" name="PT_AOV"/>
    <pivotTable tabId="2" name="PT_Category"/>
    <pivotTable tabId="2" name="PT_Order"/>
    <pivotTable tabId="2" name="PT_Profit"/>
    <pivotTable tabId="2" name="PT_Sales_Channel"/>
    <pivotTable tabId="2" name="PT_Sales_region"/>
    <pivotTable tabId="2" name="PT_sales_trend"/>
    <pivotTable tabId="2" name="PT_top5_product"/>
    <pivotTable tabId="2" name="PT_Total_revenue"/>
  </pivotTables>
  <data>
    <tabular pivotCacheId="1200824238">
      <items count="5">
        <i x="2"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D1093B-95D3-4AF2-9AD9-EC1378A7BF0B}" sourceName="Region">
  <pivotTables>
    <pivotTable tabId="2" name="PT_Sales_reps"/>
    <pivotTable tabId="2" name="PT_Segmentation"/>
    <pivotTable tabId="2" name="_T_Sales_Channel"/>
    <pivotTable tabId="2" name="PT_AOV"/>
    <pivotTable tabId="2" name="PT_Category"/>
    <pivotTable tabId="2" name="PT_Order"/>
    <pivotTable tabId="2" name="PT_Profit"/>
    <pivotTable tabId="2" name="PT_Sales_Channel"/>
    <pivotTable tabId="2" name="PT_Sales_region"/>
    <pivotTable tabId="2" name="PT_sales_trend"/>
    <pivotTable tabId="2" name="PT_top5_product"/>
    <pivotTable tabId="2" name="PT_Total_revenue"/>
  </pivotTables>
  <data>
    <tabular pivotCacheId="1200824238">
      <items count="7">
        <i x="3" s="1"/>
        <i x="6" s="1"/>
        <i x="5"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394605A8-B593-4DC1-94B1-2E040BE1DD82}" sourceName="Sales_Channel">
  <pivotTables>
    <pivotTable tabId="2" name="PT_Sales_reps"/>
    <pivotTable tabId="2" name="PT_Segmentation"/>
    <pivotTable tabId="2" name="_T_Sales_Channel"/>
    <pivotTable tabId="2" name="PT_AOV"/>
    <pivotTable tabId="2" name="PT_Category"/>
    <pivotTable tabId="2" name="PT_Order"/>
    <pivotTable tabId="2" name="PT_Profit"/>
    <pivotTable tabId="2" name="PT_Sales_Channel"/>
    <pivotTable tabId="2" name="PT_Sales_region"/>
    <pivotTable tabId="2" name="PT_sales_trend"/>
    <pivotTable tabId="2" name="PT_top5_product"/>
    <pivotTable tabId="2" name="PT_Total_revenue"/>
  </pivotTables>
  <data>
    <tabular pivotCacheId="1200824238">
      <items count="5">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7D57BCAE-0DA1-4637-87A1-65B384C6904C}" sourceName="Payment_Method">
  <pivotTables>
    <pivotTable tabId="2" name="PT_Sales_reps"/>
    <pivotTable tabId="2" name="PT_Segmentation"/>
    <pivotTable tabId="2" name="_T_Sales_Channel"/>
    <pivotTable tabId="2" name="PT_AOV"/>
    <pivotTable tabId="2" name="PT_Category"/>
    <pivotTable tabId="2" name="PT_Order"/>
    <pivotTable tabId="2" name="PT_Profit"/>
    <pivotTable tabId="2" name="PT_Sales_Channel"/>
    <pivotTable tabId="2" name="PT_Sales_region"/>
    <pivotTable tabId="2" name="PT_sales_trend"/>
    <pivotTable tabId="2" name="PT_top5_product"/>
    <pivotTable tabId="2" name="PT_Total_revenue"/>
  </pivotTables>
  <data>
    <tabular pivotCacheId="1200824238">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70E7F8D-8D00-40B4-8672-E4D24AC3F04C}" cache="Slicer_Category" caption="Category" rowHeight="241300"/>
  <slicer name="Category 1" xr10:uid="{71CE0277-393F-4553-A9A9-B956DADC6ADB}" cache="Slicer_Category" caption="Category" rowHeight="241300"/>
  <slicer name="Region" xr10:uid="{2DAF1609-4C8B-48A4-B553-E31B5DD317AF}" cache="Slicer_Region" caption="Region" rowHeight="241300"/>
  <slicer name="Region 1" xr10:uid="{82D8830F-E846-4A90-A172-DE52EE6D2C6E}" cache="Slicer_Region" caption="Region" rowHeight="241300"/>
  <slicer name="Sales_Channel" xr10:uid="{9982AE6F-A3F5-49E1-9965-E7A61BC29267}" cache="Slicer_Sales_Channel" caption="Sales Channel" rowHeight="241300"/>
  <slicer name="Sales_Channel 1" xr10:uid="{984BD2EF-27B4-454F-B756-A9139B93484E}" cache="Slicer_Sales_Channel" caption="Sales Channel" rowHeight="241300"/>
  <slicer name="Payment_Method 1" xr10:uid="{936612FE-BEAD-4AB9-AE07-40B0336981AB}" cache="Slicer_Payment_Method" caption="Payment 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0F24ED-6F60-4966-802A-005640523C8A}" name="Table2" displayName="Table2" ref="B7:E20" totalsRowShown="0">
  <autoFilter ref="B7:E20" xr:uid="{230F24ED-6F60-4966-802A-005640523C8A}"/>
  <tableColumns count="4">
    <tableColumn id="1" xr3:uid="{918D4BA6-1AA4-48E5-BFF0-33D8B6493845}" name="Column1" dataDxfId="16"/>
    <tableColumn id="2" xr3:uid="{9C19335C-8EAC-454B-8545-2E9AF216CC3C}" name="Column2" dataDxfId="15"/>
    <tableColumn id="3" xr3:uid="{147407B4-9727-4A55-A9AE-FD46A997650A}" name="Column3" dataDxfId="14"/>
    <tableColumn id="4" xr3:uid="{E5C6C4EF-B199-47EA-8884-F41207FA09DA}" name="Column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D3924D-035D-457B-8492-C3D52E5B09F5}" name="Table1" displayName="Table1" ref="A3:V203" totalsRowShown="0" headerRowDxfId="13">
  <autoFilter ref="A3:V203" xr:uid="{EFD3924D-035D-457B-8492-C3D52E5B09F5}"/>
  <tableColumns count="22">
    <tableColumn id="1" xr3:uid="{7743ED2D-D236-431E-8761-C9B6F65AB086}" name="Order_ID"/>
    <tableColumn id="2" xr3:uid="{CC37901E-FF01-41E7-B48A-52C64AF13759}" name="Customer_ID"/>
    <tableColumn id="3" xr3:uid="{A5F5D283-20BE-4A3B-B0B0-6A2947D1E27A}" name="Customer_Name"/>
    <tableColumn id="4" xr3:uid="{6A12FB47-46CC-4919-AF2C-9433B65142AB}" name="Product_Name"/>
    <tableColumn id="5" xr3:uid="{5CEF7FD7-A636-46C2-97CD-E414ABA4439B}" name="Category"/>
    <tableColumn id="6" xr3:uid="{E9F10C75-A125-4188-817F-D5A04454FDF7}" name="Quantity" dataDxfId="12"/>
    <tableColumn id="7" xr3:uid="{1AFA7F72-AA18-4750-862E-7F6D4C18D20B}" name="Unit_Price_NGN" dataDxfId="11"/>
    <tableColumn id="8" xr3:uid="{16A3D194-037B-47F5-9AEF-CE677DAA2DFB}" name="Discount_Percent" dataDxfId="10" dataCellStyle="Percent"/>
    <tableColumn id="9" xr3:uid="{C7130032-59D9-40A3-9A6F-15F87DE708A1}" name="Discount_Amount_NGN" dataDxfId="9"/>
    <tableColumn id="10" xr3:uid="{72C64B53-EC07-4F7E-A07F-00F264FA86A7}" name="Total_Sales_NGN" dataDxfId="8"/>
    <tableColumn id="11" xr3:uid="{A67556D6-2888-4572-BA64-D22C16223DE4}" name="Total_Cost_NGN" dataDxfId="7"/>
    <tableColumn id="12" xr3:uid="{1CD65D9E-724D-4B0A-8A84-48DBD0DEF76F}" name="Profit_NGN" dataDxfId="6"/>
    <tableColumn id="13" xr3:uid="{716FCFC0-6B85-4687-B3BE-8889426E9ADE}" name="Order_Date" dataDxfId="5"/>
    <tableColumn id="14" xr3:uid="{8C02DF78-6B63-468D-B4DF-0FDCF049A660}" name="Ship_Date" dataDxfId="4"/>
    <tableColumn id="15" xr3:uid="{4A8DAA7A-BECA-423C-93CE-B2383A4A3293}" name="Region"/>
    <tableColumn id="16" xr3:uid="{2C80085C-F4D7-4DAC-A18A-EB61C610028B}" name="Customer_Segment"/>
    <tableColumn id="17" xr3:uid="{6F663111-8A37-4EB9-B1F9-E4A63B12CF7C}" name="Sales_Channel" dataDxfId="3"/>
    <tableColumn id="18" xr3:uid="{418E5311-BBB4-4882-BE0A-DF2E07E19371}" name="Payment_Method"/>
    <tableColumn id="19" xr3:uid="{2F6E652E-F54A-454D-861E-DC13C2ED2BD3}" name="Sales_Rep"/>
    <tableColumn id="20" xr3:uid="{A890BB5B-1002-4A08-B083-4269F2FB73D2}" name="Day" dataDxfId="2">
      <calculatedColumnFormula>TEXT(Table1[[#This Row],[Order_Date]],"ddd")</calculatedColumnFormula>
    </tableColumn>
    <tableColumn id="21" xr3:uid="{C1C165BD-3103-4678-A15E-AA9FE2BD47BF}" name="Month" dataDxfId="1">
      <calculatedColumnFormula>TEXT(Table1[[#This Row],[Order_Date]], "mmm")</calculatedColumnFormula>
    </tableColumn>
    <tableColumn id="22" xr3:uid="{BBD02473-670C-49E3-AA42-834AD798190B}" name="Year" dataDxfId="0">
      <calculatedColumnFormula>YEAR(Table1[[#This Row],[Order_Date]])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9BEE5EA-A439-4051-ABF6-7A595A3C3959}" sourceName="Order_Date">
  <pivotTables>
    <pivotTable tabId="2" name="PT_Sales_reps"/>
    <pivotTable tabId="2" name="PT_Segmentation"/>
    <pivotTable tabId="2" name="_T_Sales_Channel"/>
    <pivotTable tabId="2" name="PT_AOV"/>
    <pivotTable tabId="2" name="PT_Category"/>
    <pivotTable tabId="2" name="PT_Order"/>
    <pivotTable tabId="2" name="PT_Profit"/>
    <pivotTable tabId="2" name="PT_Sales_Channel"/>
    <pivotTable tabId="2" name="PT_Sales_region"/>
    <pivotTable tabId="2" name="PT_sales_trend"/>
    <pivotTable tabId="2" name="PT_top5_product"/>
    <pivotTable tabId="2" name="PT_Total_revenue"/>
  </pivotTables>
  <state minimalRefreshVersion="6" lastRefreshVersion="6" pivotCacheId="1200824238"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CBC7A64-504D-41D6-97D3-FD3C5D57E9D1}" cache="NativeTimeline_Order_Date" caption="Years" level="0" selectionLevel="0" scrollPosition="2024-01-01T00:00:00"/>
  <timeline name="Order_Date 1" xr10:uid="{C5EDAB73-69CE-4293-B237-7B1117FAD419}" cache="NativeTimeline_Order_Date" caption="Days" level="3" selectionLevel="3" scrollPosition="2024-06-29T00:00:00"/>
  <timeline name="Order_Date 2" xr10:uid="{0619C1CC-C88E-4293-BD10-B7F706612722}" cache="NativeTimeline_Order_Date" caption="Months" level="2" selectionLevel="2" scrollPosition="2024-07-01T00:00:00"/>
  <timeline name="Order_Date 3" xr10:uid="{0DC5D558-C761-4605-A43D-F0F49F45423C}" cache="NativeTimeline_Order_Date" caption="Quarters" level="1" selectionLevel="1" scrollPosition="2024-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E4A8C-D453-4B01-ADC4-46A5CB9B5AAB}">
  <dimension ref="A1:H66"/>
  <sheetViews>
    <sheetView workbookViewId="0">
      <selection activeCell="G47" sqref="G47"/>
    </sheetView>
  </sheetViews>
  <sheetFormatPr defaultRowHeight="14.5" x14ac:dyDescent="0.35"/>
  <cols>
    <col min="1" max="1" width="16.36328125" bestFit="1" customWidth="1"/>
    <col min="2" max="2" width="21.6328125" bestFit="1" customWidth="1"/>
    <col min="3" max="3" width="16.7265625" bestFit="1" customWidth="1"/>
    <col min="4" max="4" width="12.36328125" bestFit="1" customWidth="1"/>
    <col min="5" max="5" width="21.6328125" bestFit="1" customWidth="1"/>
    <col min="6" max="6" width="12.36328125" bestFit="1" customWidth="1"/>
    <col min="7" max="8" width="21.6328125" bestFit="1" customWidth="1"/>
    <col min="9" max="9" width="9.81640625" bestFit="1" customWidth="1"/>
    <col min="10" max="10" width="7.26953125" bestFit="1" customWidth="1"/>
    <col min="11" max="11" width="8.6328125" bestFit="1" customWidth="1"/>
    <col min="12" max="12" width="10.7265625" bestFit="1" customWidth="1"/>
  </cols>
  <sheetData>
    <row r="1" spans="1:5" ht="36" customHeight="1" x14ac:dyDescent="0.35"/>
    <row r="4" spans="1:5" ht="28.5" x14ac:dyDescent="0.65">
      <c r="A4" s="5" t="s">
        <v>326</v>
      </c>
    </row>
    <row r="6" spans="1:5" ht="28.5" x14ac:dyDescent="0.65">
      <c r="B6" s="5"/>
    </row>
    <row r="7" spans="1:5" ht="28.5" hidden="1" x14ac:dyDescent="0.65">
      <c r="B7" s="5" t="s">
        <v>325</v>
      </c>
      <c r="C7" t="s">
        <v>335</v>
      </c>
      <c r="D7" t="s">
        <v>336</v>
      </c>
      <c r="E7" t="s">
        <v>337</v>
      </c>
    </row>
    <row r="8" spans="1:5" ht="28.5" x14ac:dyDescent="0.65">
      <c r="B8" s="5" t="s">
        <v>327</v>
      </c>
    </row>
    <row r="9" spans="1:5" ht="15.5" x14ac:dyDescent="0.35">
      <c r="B9" s="7" t="s">
        <v>328</v>
      </c>
      <c r="C9" s="6"/>
      <c r="D9" s="6"/>
    </row>
    <row r="10" spans="1:5" ht="15.5" x14ac:dyDescent="0.35">
      <c r="B10" s="7" t="s">
        <v>341</v>
      </c>
      <c r="C10" s="6"/>
      <c r="D10" s="6"/>
    </row>
    <row r="11" spans="1:5" ht="15.5" x14ac:dyDescent="0.35">
      <c r="B11" s="7" t="s">
        <v>342</v>
      </c>
      <c r="C11" s="6"/>
      <c r="D11" s="6"/>
    </row>
    <row r="12" spans="1:5" ht="15.5" x14ac:dyDescent="0.35">
      <c r="B12" s="7" t="s">
        <v>329</v>
      </c>
      <c r="C12" s="6"/>
      <c r="D12" s="6"/>
    </row>
    <row r="13" spans="1:5" ht="15.5" x14ac:dyDescent="0.35">
      <c r="B13" s="7" t="s">
        <v>330</v>
      </c>
      <c r="C13" s="6"/>
      <c r="D13" s="6"/>
    </row>
    <row r="14" spans="1:5" ht="15.5" x14ac:dyDescent="0.35">
      <c r="B14" s="7" t="s">
        <v>331</v>
      </c>
      <c r="C14" s="6" t="s">
        <v>339</v>
      </c>
      <c r="D14" s="6"/>
    </row>
    <row r="15" spans="1:5" ht="15.5" x14ac:dyDescent="0.35">
      <c r="B15" s="7" t="s">
        <v>332</v>
      </c>
      <c r="C15" s="6"/>
      <c r="D15" s="6"/>
    </row>
    <row r="16" spans="1:5" ht="15.5" x14ac:dyDescent="0.35">
      <c r="B16" s="7" t="s">
        <v>333</v>
      </c>
      <c r="C16" s="6"/>
      <c r="D16" s="6"/>
    </row>
    <row r="17" spans="1:6" ht="15.5" x14ac:dyDescent="0.35">
      <c r="A17" s="7"/>
      <c r="B17" s="7" t="s">
        <v>338</v>
      </c>
      <c r="C17" s="6"/>
      <c r="D17" s="6"/>
    </row>
    <row r="18" spans="1:6" ht="15.5" x14ac:dyDescent="0.35">
      <c r="A18" s="7"/>
      <c r="B18" s="7" t="s">
        <v>334</v>
      </c>
    </row>
    <row r="19" spans="1:6" ht="15.5" x14ac:dyDescent="0.35">
      <c r="A19" s="7"/>
      <c r="B19" s="7"/>
      <c r="C19" s="6"/>
      <c r="D19" s="6"/>
    </row>
    <row r="20" spans="1:6" ht="15.5" x14ac:dyDescent="0.35">
      <c r="A20" s="7"/>
      <c r="B20" s="7"/>
      <c r="C20" s="6"/>
      <c r="D20" s="6"/>
    </row>
    <row r="21" spans="1:6" ht="15.5" x14ac:dyDescent="0.35">
      <c r="A21" s="7"/>
      <c r="B21" s="7"/>
      <c r="C21" s="6"/>
      <c r="D21" s="6"/>
    </row>
    <row r="22" spans="1:6" ht="15.5" x14ac:dyDescent="0.35">
      <c r="A22" s="7"/>
      <c r="B22" s="7"/>
      <c r="C22" s="6"/>
      <c r="D22" s="6"/>
    </row>
    <row r="23" spans="1:6" ht="15.5" x14ac:dyDescent="0.35">
      <c r="A23" s="7"/>
      <c r="B23" s="7"/>
      <c r="C23" s="6"/>
      <c r="D23" s="6"/>
    </row>
    <row r="26" spans="1:6" ht="18.5" x14ac:dyDescent="0.45">
      <c r="E26" s="15" t="s">
        <v>333</v>
      </c>
    </row>
    <row r="27" spans="1:6" ht="18.5" x14ac:dyDescent="0.45">
      <c r="A27" s="15" t="s">
        <v>358</v>
      </c>
      <c r="C27" s="15" t="s">
        <v>342</v>
      </c>
      <c r="E27" s="9" t="s">
        <v>350</v>
      </c>
      <c r="F27" t="s">
        <v>347</v>
      </c>
    </row>
    <row r="28" spans="1:6" x14ac:dyDescent="0.35">
      <c r="A28" t="s">
        <v>340</v>
      </c>
      <c r="C28" t="s">
        <v>343</v>
      </c>
      <c r="E28" s="2" t="s">
        <v>274</v>
      </c>
      <c r="F28">
        <v>7499446</v>
      </c>
    </row>
    <row r="29" spans="1:6" x14ac:dyDescent="0.35">
      <c r="A29">
        <v>200</v>
      </c>
      <c r="C29" s="13">
        <v>33992437</v>
      </c>
      <c r="E29" s="2" t="s">
        <v>275</v>
      </c>
      <c r="F29">
        <v>24980985</v>
      </c>
    </row>
    <row r="30" spans="1:6" x14ac:dyDescent="0.35">
      <c r="E30" s="2" t="s">
        <v>284</v>
      </c>
      <c r="F30">
        <v>14183443</v>
      </c>
    </row>
    <row r="31" spans="1:6" x14ac:dyDescent="0.35">
      <c r="E31" s="2" t="s">
        <v>277</v>
      </c>
      <c r="F31">
        <v>9952967</v>
      </c>
    </row>
    <row r="32" spans="1:6" ht="18.5" x14ac:dyDescent="0.45">
      <c r="A32" s="15" t="s">
        <v>328</v>
      </c>
      <c r="C32" s="15" t="s">
        <v>330</v>
      </c>
      <c r="E32" s="2" t="s">
        <v>276</v>
      </c>
      <c r="F32">
        <v>37498535</v>
      </c>
    </row>
    <row r="33" spans="1:8" x14ac:dyDescent="0.35">
      <c r="A33" t="s">
        <v>349</v>
      </c>
      <c r="C33" t="s">
        <v>348</v>
      </c>
      <c r="E33" s="2" t="s">
        <v>357</v>
      </c>
      <c r="F33">
        <v>94115376</v>
      </c>
    </row>
    <row r="34" spans="1:8" x14ac:dyDescent="0.35">
      <c r="A34" s="13">
        <v>125494020</v>
      </c>
      <c r="C34" s="13">
        <v>627470.1</v>
      </c>
    </row>
    <row r="37" spans="1:8" ht="18.5" x14ac:dyDescent="0.45">
      <c r="A37" s="15" t="s">
        <v>359</v>
      </c>
      <c r="E37" s="15" t="s">
        <v>360</v>
      </c>
    </row>
    <row r="38" spans="1:8" x14ac:dyDescent="0.35">
      <c r="A38" s="9" t="s">
        <v>350</v>
      </c>
      <c r="B38" t="s">
        <v>347</v>
      </c>
      <c r="C38" t="s">
        <v>343</v>
      </c>
      <c r="E38" s="9" t="s">
        <v>350</v>
      </c>
      <c r="F38" t="s">
        <v>347</v>
      </c>
    </row>
    <row r="39" spans="1:8" x14ac:dyDescent="0.35">
      <c r="A39" s="2" t="s">
        <v>351</v>
      </c>
      <c r="B39" s="13">
        <v>22099114</v>
      </c>
      <c r="C39" s="13">
        <v>6174634</v>
      </c>
      <c r="E39" s="2" t="s">
        <v>296</v>
      </c>
      <c r="F39" s="13">
        <v>6992788</v>
      </c>
    </row>
    <row r="40" spans="1:8" x14ac:dyDescent="0.35">
      <c r="A40" s="2" t="s">
        <v>352</v>
      </c>
      <c r="B40" s="13">
        <v>26687930</v>
      </c>
      <c r="C40" s="13">
        <v>6771709</v>
      </c>
      <c r="E40" s="2" t="s">
        <v>295</v>
      </c>
      <c r="F40" s="13">
        <v>15825015</v>
      </c>
    </row>
    <row r="41" spans="1:8" x14ac:dyDescent="0.35">
      <c r="A41" s="2" t="s">
        <v>353</v>
      </c>
      <c r="B41" s="13">
        <v>20929452</v>
      </c>
      <c r="C41" s="13">
        <v>5567692</v>
      </c>
      <c r="E41" s="2" t="s">
        <v>294</v>
      </c>
      <c r="F41" s="13">
        <v>84162409</v>
      </c>
    </row>
    <row r="42" spans="1:8" x14ac:dyDescent="0.35">
      <c r="A42" s="2" t="s">
        <v>354</v>
      </c>
      <c r="B42" s="13">
        <v>7557956</v>
      </c>
      <c r="C42" s="13">
        <v>2550544</v>
      </c>
      <c r="E42" s="2" t="s">
        <v>298</v>
      </c>
      <c r="F42" s="13">
        <v>2354109</v>
      </c>
    </row>
    <row r="43" spans="1:8" x14ac:dyDescent="0.35">
      <c r="A43" s="2" t="s">
        <v>355</v>
      </c>
      <c r="B43" s="13">
        <v>34822979</v>
      </c>
      <c r="C43" s="13">
        <v>8873349</v>
      </c>
      <c r="E43" s="2" t="s">
        <v>297</v>
      </c>
      <c r="F43" s="13">
        <v>16159699</v>
      </c>
    </row>
    <row r="44" spans="1:8" x14ac:dyDescent="0.35">
      <c r="A44" s="2" t="s">
        <v>356</v>
      </c>
      <c r="B44" s="13">
        <v>13396589</v>
      </c>
      <c r="C44" s="13">
        <v>4054509</v>
      </c>
      <c r="E44" s="2" t="s">
        <v>357</v>
      </c>
      <c r="F44" s="13">
        <v>125494020</v>
      </c>
    </row>
    <row r="45" spans="1:8" x14ac:dyDescent="0.35">
      <c r="A45" s="2" t="s">
        <v>357</v>
      </c>
      <c r="B45" s="13">
        <v>125494020</v>
      </c>
      <c r="C45" s="13">
        <v>33992437</v>
      </c>
    </row>
    <row r="47" spans="1:8" ht="18.5" x14ac:dyDescent="0.45">
      <c r="A47" s="15" t="s">
        <v>361</v>
      </c>
      <c r="B47" s="14"/>
      <c r="D47" s="14" t="s">
        <v>362</v>
      </c>
      <c r="E47" s="15"/>
      <c r="G47" s="14" t="s">
        <v>363</v>
      </c>
      <c r="H47" s="15"/>
    </row>
    <row r="48" spans="1:8" x14ac:dyDescent="0.35">
      <c r="A48" s="9" t="s">
        <v>350</v>
      </c>
      <c r="B48" t="s">
        <v>347</v>
      </c>
      <c r="D48" s="9" t="s">
        <v>350</v>
      </c>
      <c r="E48" t="s">
        <v>347</v>
      </c>
      <c r="G48" s="9" t="s">
        <v>350</v>
      </c>
      <c r="H48" t="s">
        <v>347</v>
      </c>
    </row>
    <row r="49" spans="1:8" x14ac:dyDescent="0.35">
      <c r="A49" s="2" t="s">
        <v>302</v>
      </c>
      <c r="B49" s="13">
        <v>4786434</v>
      </c>
      <c r="D49" s="2" t="s">
        <v>314</v>
      </c>
      <c r="E49" s="13">
        <v>26365070</v>
      </c>
      <c r="G49" s="2" t="s">
        <v>316</v>
      </c>
      <c r="H49" s="13">
        <v>15596729</v>
      </c>
    </row>
    <row r="50" spans="1:8" x14ac:dyDescent="0.35">
      <c r="A50" s="2" t="s">
        <v>305</v>
      </c>
      <c r="B50" s="13">
        <v>17516696</v>
      </c>
      <c r="D50" s="2" t="s">
        <v>312</v>
      </c>
      <c r="E50" s="13">
        <v>28523966</v>
      </c>
      <c r="G50" s="2" t="s">
        <v>317</v>
      </c>
      <c r="H50" s="13">
        <v>23962973</v>
      </c>
    </row>
    <row r="51" spans="1:8" x14ac:dyDescent="0.35">
      <c r="A51" s="2" t="s">
        <v>304</v>
      </c>
      <c r="B51" s="13">
        <v>25755985</v>
      </c>
      <c r="D51" s="2" t="s">
        <v>310</v>
      </c>
      <c r="E51" s="13">
        <v>29559869</v>
      </c>
      <c r="G51" s="2" t="s">
        <v>315</v>
      </c>
      <c r="H51" s="13">
        <v>30376079</v>
      </c>
    </row>
    <row r="52" spans="1:8" x14ac:dyDescent="0.35">
      <c r="A52" s="2" t="s">
        <v>300</v>
      </c>
      <c r="B52" s="13">
        <v>22836928</v>
      </c>
      <c r="D52" s="2" t="s">
        <v>313</v>
      </c>
      <c r="E52" s="13">
        <v>14613348</v>
      </c>
      <c r="G52" s="2" t="s">
        <v>319</v>
      </c>
      <c r="H52" s="13">
        <v>18976244</v>
      </c>
    </row>
    <row r="53" spans="1:8" x14ac:dyDescent="0.35">
      <c r="A53" s="2" t="s">
        <v>299</v>
      </c>
      <c r="B53" s="13">
        <v>17377814</v>
      </c>
      <c r="D53" s="2" t="s">
        <v>311</v>
      </c>
      <c r="E53" s="13">
        <v>26431767</v>
      </c>
      <c r="G53" s="2" t="s">
        <v>318</v>
      </c>
      <c r="H53" s="13">
        <v>36581995</v>
      </c>
    </row>
    <row r="54" spans="1:8" x14ac:dyDescent="0.35">
      <c r="A54" s="2" t="s">
        <v>301</v>
      </c>
      <c r="B54" s="13">
        <v>15146909</v>
      </c>
      <c r="D54" s="2" t="s">
        <v>357</v>
      </c>
      <c r="E54" s="13">
        <v>125494020</v>
      </c>
      <c r="G54" s="2" t="s">
        <v>357</v>
      </c>
      <c r="H54" s="13">
        <v>125494020</v>
      </c>
    </row>
    <row r="55" spans="1:8" x14ac:dyDescent="0.35">
      <c r="A55" s="2" t="s">
        <v>303</v>
      </c>
      <c r="B55" s="13">
        <v>22073254</v>
      </c>
    </row>
    <row r="56" spans="1:8" x14ac:dyDescent="0.35">
      <c r="A56" s="2" t="s">
        <v>357</v>
      </c>
      <c r="B56" s="13">
        <v>125494020</v>
      </c>
    </row>
    <row r="59" spans="1:8" ht="15.5" x14ac:dyDescent="0.35">
      <c r="A59" s="14" t="s">
        <v>364</v>
      </c>
      <c r="B59" s="14"/>
      <c r="D59" s="14" t="s">
        <v>365</v>
      </c>
      <c r="E59" s="14"/>
    </row>
    <row r="60" spans="1:8" x14ac:dyDescent="0.35">
      <c r="A60" s="9" t="s">
        <v>350</v>
      </c>
      <c r="B60" t="s">
        <v>347</v>
      </c>
      <c r="D60" s="9" t="s">
        <v>350</v>
      </c>
      <c r="E60" t="s">
        <v>347</v>
      </c>
    </row>
    <row r="61" spans="1:8" x14ac:dyDescent="0.35">
      <c r="A61" s="2" t="s">
        <v>320</v>
      </c>
      <c r="B61" s="13">
        <v>36688365</v>
      </c>
      <c r="D61" s="2" t="s">
        <v>308</v>
      </c>
      <c r="E61" s="13">
        <v>44096769</v>
      </c>
    </row>
    <row r="62" spans="1:8" x14ac:dyDescent="0.35">
      <c r="A62" s="2" t="s">
        <v>321</v>
      </c>
      <c r="B62" s="13">
        <v>28336978</v>
      </c>
      <c r="D62" s="2" t="s">
        <v>309</v>
      </c>
      <c r="E62" s="13">
        <v>30932211</v>
      </c>
    </row>
    <row r="63" spans="1:8" x14ac:dyDescent="0.35">
      <c r="A63" s="2" t="s">
        <v>323</v>
      </c>
      <c r="B63" s="13">
        <v>23243232</v>
      </c>
      <c r="D63" s="2" t="s">
        <v>307</v>
      </c>
      <c r="E63" s="13">
        <v>34244827</v>
      </c>
    </row>
    <row r="64" spans="1:8" ht="15.5" x14ac:dyDescent="0.35">
      <c r="A64" s="2" t="s">
        <v>324</v>
      </c>
      <c r="B64" s="13">
        <v>16840288</v>
      </c>
      <c r="C64" s="14"/>
      <c r="D64" s="2" t="s">
        <v>306</v>
      </c>
      <c r="E64" s="13">
        <v>16220213</v>
      </c>
    </row>
    <row r="65" spans="1:5" x14ac:dyDescent="0.35">
      <c r="A65" s="2" t="s">
        <v>322</v>
      </c>
      <c r="B65" s="13">
        <v>20385157</v>
      </c>
      <c r="D65" s="2" t="s">
        <v>357</v>
      </c>
      <c r="E65" s="13">
        <v>125494020</v>
      </c>
    </row>
    <row r="66" spans="1:5" x14ac:dyDescent="0.35">
      <c r="A66" s="2" t="s">
        <v>357</v>
      </c>
      <c r="B66" s="13">
        <v>125494020</v>
      </c>
    </row>
  </sheetData>
  <pageMargins left="0.7" right="0.7" top="0.75" bottom="0.75" header="0.3" footer="0.3"/>
  <drawing r:id="rId13"/>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D351-CDC3-4703-A76B-2AD281757600}">
  <dimension ref="A1:T7"/>
  <sheetViews>
    <sheetView showGridLines="0" tabSelected="1" zoomScaleNormal="100" workbookViewId="0"/>
  </sheetViews>
  <sheetFormatPr defaultRowHeight="14.5" x14ac:dyDescent="0.35"/>
  <cols>
    <col min="2" max="2" width="8.7265625" customWidth="1"/>
  </cols>
  <sheetData>
    <row r="1" spans="1:20" x14ac:dyDescent="0.35">
      <c r="A1" s="12"/>
      <c r="B1" s="12"/>
      <c r="C1" s="12"/>
      <c r="D1" s="12"/>
      <c r="E1" s="12"/>
      <c r="F1" s="12"/>
      <c r="G1" s="12"/>
      <c r="H1" s="12"/>
      <c r="I1" s="12"/>
      <c r="J1" s="12"/>
      <c r="K1" s="12"/>
      <c r="L1" s="12"/>
      <c r="M1" s="12"/>
      <c r="N1" s="12"/>
      <c r="O1" s="12"/>
      <c r="P1" s="12"/>
      <c r="Q1" s="12"/>
      <c r="R1" s="12"/>
      <c r="S1" s="12"/>
      <c r="T1" s="12"/>
    </row>
    <row r="2" spans="1:20" x14ac:dyDescent="0.35">
      <c r="A2" s="12"/>
      <c r="B2" s="12"/>
      <c r="C2" s="12"/>
      <c r="D2" s="12"/>
      <c r="E2" s="12"/>
      <c r="F2" s="12"/>
      <c r="G2" s="12"/>
      <c r="H2" s="12"/>
      <c r="I2" s="12"/>
      <c r="J2" s="12"/>
      <c r="K2" s="12"/>
      <c r="L2" s="12"/>
      <c r="M2" s="12"/>
      <c r="N2" s="12"/>
      <c r="O2" s="12"/>
      <c r="P2" s="12"/>
      <c r="Q2" s="12"/>
      <c r="R2" s="12"/>
      <c r="S2" s="12"/>
      <c r="T2" s="12"/>
    </row>
    <row r="3" spans="1:20" x14ac:dyDescent="0.35">
      <c r="A3" s="12"/>
      <c r="B3" s="12"/>
      <c r="C3" s="12"/>
      <c r="D3" s="12"/>
      <c r="E3" s="12"/>
      <c r="F3" s="12"/>
      <c r="G3" s="12"/>
      <c r="H3" s="12"/>
      <c r="I3" s="12"/>
      <c r="J3" s="12"/>
      <c r="K3" s="12"/>
      <c r="L3" s="12"/>
      <c r="M3" s="12"/>
      <c r="N3" s="12"/>
      <c r="O3" s="12"/>
      <c r="P3" s="12"/>
      <c r="Q3" s="12"/>
      <c r="R3" s="12"/>
      <c r="S3" s="12"/>
      <c r="T3" s="12"/>
    </row>
    <row r="7" spans="1:20" x14ac:dyDescent="0.35">
      <c r="D7"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V203"/>
  <sheetViews>
    <sheetView topLeftCell="F1" workbookViewId="0"/>
  </sheetViews>
  <sheetFormatPr defaultRowHeight="14.5" x14ac:dyDescent="0.35"/>
  <cols>
    <col min="1" max="1" width="10.54296875" customWidth="1"/>
    <col min="2" max="2" width="13.81640625" customWidth="1"/>
    <col min="3" max="3" width="18.453125" bestFit="1" customWidth="1"/>
    <col min="4" max="4" width="23.6328125" bestFit="1" customWidth="1"/>
    <col min="5" max="5" width="10.36328125" bestFit="1" customWidth="1"/>
    <col min="6" max="6" width="10.1796875" customWidth="1"/>
    <col min="7" max="7" width="16.26953125" customWidth="1"/>
    <col min="8" max="8" width="17.6328125" customWidth="1"/>
    <col min="9" max="9" width="22.81640625" customWidth="1"/>
    <col min="10" max="10" width="17.08984375" customWidth="1"/>
    <col min="11" max="11" width="16.6328125" customWidth="1"/>
    <col min="12" max="12" width="12.36328125" customWidth="1"/>
    <col min="13" max="13" width="12.7265625" customWidth="1"/>
    <col min="14" max="14" width="11.36328125" customWidth="1"/>
    <col min="15" max="15" width="12.08984375" bestFit="1" customWidth="1"/>
    <col min="16" max="16" width="19.26953125" customWidth="1"/>
    <col min="17" max="17" width="14.81640625" customWidth="1"/>
    <col min="18" max="18" width="18" customWidth="1"/>
    <col min="19" max="19" width="14.453125" bestFit="1" customWidth="1"/>
  </cols>
  <sheetData>
    <row r="3" spans="1:22" x14ac:dyDescent="0.35">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1" t="s">
        <v>344</v>
      </c>
      <c r="U3" s="11" t="s">
        <v>345</v>
      </c>
      <c r="V3" s="11" t="s">
        <v>346</v>
      </c>
    </row>
    <row r="4" spans="1:22" x14ac:dyDescent="0.35">
      <c r="A4">
        <v>10181</v>
      </c>
      <c r="B4" t="s">
        <v>19</v>
      </c>
      <c r="C4" t="s">
        <v>215</v>
      </c>
      <c r="D4" t="s">
        <v>274</v>
      </c>
      <c r="E4" t="s">
        <v>294</v>
      </c>
      <c r="F4" s="3">
        <v>2</v>
      </c>
      <c r="G4" s="8">
        <v>144673</v>
      </c>
      <c r="H4" s="10">
        <v>0</v>
      </c>
      <c r="I4" s="8">
        <v>0</v>
      </c>
      <c r="J4" s="8">
        <v>289346</v>
      </c>
      <c r="K4" s="8">
        <v>210000</v>
      </c>
      <c r="L4" s="8">
        <v>79346</v>
      </c>
      <c r="M4" s="4">
        <v>45598</v>
      </c>
      <c r="N4" s="4">
        <v>45601</v>
      </c>
      <c r="O4" t="s">
        <v>299</v>
      </c>
      <c r="P4" t="s">
        <v>306</v>
      </c>
      <c r="Q4" s="2" t="s">
        <v>310</v>
      </c>
      <c r="R4" t="s">
        <v>315</v>
      </c>
      <c r="S4" t="s">
        <v>320</v>
      </c>
      <c r="T4" t="str">
        <f>TEXT(Table1[[#This Row],[Order_Date]],"ddd")</f>
        <v>Sat</v>
      </c>
      <c r="U4" t="str">
        <f>TEXT(Table1[[#This Row],[Order_Date]], "mmm")</f>
        <v>Nov</v>
      </c>
      <c r="V4">
        <f>YEAR(Table1[[#This Row],[Order_Date]])</f>
        <v>2024</v>
      </c>
    </row>
    <row r="5" spans="1:22" x14ac:dyDescent="0.35">
      <c r="A5">
        <v>10138</v>
      </c>
      <c r="B5" t="s">
        <v>20</v>
      </c>
      <c r="C5" t="s">
        <v>216</v>
      </c>
      <c r="D5" t="s">
        <v>275</v>
      </c>
      <c r="E5" t="s">
        <v>294</v>
      </c>
      <c r="F5" s="3">
        <v>4</v>
      </c>
      <c r="G5" s="8">
        <v>995699</v>
      </c>
      <c r="H5" s="10">
        <v>0</v>
      </c>
      <c r="I5" s="8">
        <v>0</v>
      </c>
      <c r="J5" s="8">
        <v>3982796</v>
      </c>
      <c r="K5" s="8">
        <v>3000000</v>
      </c>
      <c r="L5" s="8">
        <v>982796</v>
      </c>
      <c r="M5" s="4">
        <v>45601</v>
      </c>
      <c r="N5" s="4">
        <v>45604</v>
      </c>
      <c r="O5" t="s">
        <v>300</v>
      </c>
      <c r="P5" t="s">
        <v>307</v>
      </c>
      <c r="Q5" s="2" t="s">
        <v>311</v>
      </c>
      <c r="R5" t="s">
        <v>316</v>
      </c>
      <c r="S5" t="s">
        <v>321</v>
      </c>
      <c r="T5" t="str">
        <f>TEXT(Table1[[#This Row],[Order_Date]],"ddd")</f>
        <v>Tue</v>
      </c>
      <c r="U5" t="str">
        <f>TEXT(Table1[[#This Row],[Order_Date]], "mmm")</f>
        <v>Nov</v>
      </c>
      <c r="V5">
        <f>YEAR(Table1[[#This Row],[Order_Date]])</f>
        <v>2024</v>
      </c>
    </row>
    <row r="6" spans="1:22" x14ac:dyDescent="0.35">
      <c r="A6">
        <v>10132</v>
      </c>
      <c r="B6" t="s">
        <v>21</v>
      </c>
      <c r="C6" t="s">
        <v>217</v>
      </c>
      <c r="D6" t="s">
        <v>276</v>
      </c>
      <c r="E6" t="s">
        <v>294</v>
      </c>
      <c r="F6" s="3">
        <v>2</v>
      </c>
      <c r="G6" s="8">
        <v>742803</v>
      </c>
      <c r="H6" s="10">
        <v>0</v>
      </c>
      <c r="I6" s="8">
        <v>0</v>
      </c>
      <c r="J6" s="8">
        <v>1485606</v>
      </c>
      <c r="K6" s="8">
        <v>1100000</v>
      </c>
      <c r="L6" s="8">
        <v>385606</v>
      </c>
      <c r="M6" s="4">
        <v>45603</v>
      </c>
      <c r="N6" s="4">
        <v>45607</v>
      </c>
      <c r="O6" t="s">
        <v>301</v>
      </c>
      <c r="P6" t="s">
        <v>306</v>
      </c>
      <c r="Q6" s="2" t="s">
        <v>312</v>
      </c>
      <c r="R6" t="s">
        <v>317</v>
      </c>
      <c r="S6" t="s">
        <v>322</v>
      </c>
      <c r="T6" t="str">
        <f>TEXT(Table1[[#This Row],[Order_Date]],"ddd")</f>
        <v>Thu</v>
      </c>
      <c r="U6" t="str">
        <f>TEXT(Table1[[#This Row],[Order_Date]], "mmm")</f>
        <v>Nov</v>
      </c>
      <c r="V6">
        <f>YEAR(Table1[[#This Row],[Order_Date]])</f>
        <v>2024</v>
      </c>
    </row>
    <row r="7" spans="1:22" x14ac:dyDescent="0.35">
      <c r="A7">
        <v>10147</v>
      </c>
      <c r="B7" t="s">
        <v>22</v>
      </c>
      <c r="C7" t="s">
        <v>218</v>
      </c>
      <c r="D7" t="s">
        <v>277</v>
      </c>
      <c r="E7" t="s">
        <v>295</v>
      </c>
      <c r="F7" s="3">
        <v>3</v>
      </c>
      <c r="G7" s="8">
        <v>311988</v>
      </c>
      <c r="H7" s="10">
        <v>0</v>
      </c>
      <c r="I7" s="8">
        <v>0</v>
      </c>
      <c r="J7" s="8">
        <v>935964</v>
      </c>
      <c r="K7" s="8">
        <v>720000</v>
      </c>
      <c r="L7" s="8">
        <v>215964</v>
      </c>
      <c r="M7" s="4">
        <v>45603</v>
      </c>
      <c r="N7" s="4">
        <v>45605</v>
      </c>
      <c r="O7" t="s">
        <v>299</v>
      </c>
      <c r="P7" t="s">
        <v>308</v>
      </c>
      <c r="Q7" s="2" t="s">
        <v>310</v>
      </c>
      <c r="R7" t="s">
        <v>318</v>
      </c>
      <c r="S7" t="s">
        <v>320</v>
      </c>
      <c r="T7" t="str">
        <f>TEXT(Table1[[#This Row],[Order_Date]],"ddd")</f>
        <v>Thu</v>
      </c>
      <c r="U7" t="str">
        <f>TEXT(Table1[[#This Row],[Order_Date]], "mmm")</f>
        <v>Nov</v>
      </c>
      <c r="V7">
        <f>YEAR(Table1[[#This Row],[Order_Date]])</f>
        <v>2024</v>
      </c>
    </row>
    <row r="8" spans="1:22" x14ac:dyDescent="0.35">
      <c r="A8">
        <v>10050</v>
      </c>
      <c r="B8" t="s">
        <v>23</v>
      </c>
      <c r="C8" t="s">
        <v>219</v>
      </c>
      <c r="D8" t="s">
        <v>278</v>
      </c>
      <c r="E8" t="s">
        <v>296</v>
      </c>
      <c r="F8" s="3">
        <v>1</v>
      </c>
      <c r="G8" s="8">
        <v>35984</v>
      </c>
      <c r="H8" s="10">
        <v>0</v>
      </c>
      <c r="I8" s="8">
        <v>0</v>
      </c>
      <c r="J8" s="8">
        <v>35984</v>
      </c>
      <c r="K8" s="8">
        <v>20000</v>
      </c>
      <c r="L8" s="8">
        <v>15984</v>
      </c>
      <c r="M8" s="4">
        <v>45604</v>
      </c>
      <c r="N8" s="4">
        <v>45606</v>
      </c>
      <c r="O8" t="s">
        <v>302</v>
      </c>
      <c r="P8" t="s">
        <v>307</v>
      </c>
      <c r="Q8" s="2" t="s">
        <v>312</v>
      </c>
      <c r="R8" t="s">
        <v>316</v>
      </c>
      <c r="S8" t="s">
        <v>322</v>
      </c>
      <c r="T8" t="str">
        <f>TEXT(Table1[[#This Row],[Order_Date]],"ddd")</f>
        <v>Fri</v>
      </c>
      <c r="U8" t="str">
        <f>TEXT(Table1[[#This Row],[Order_Date]], "mmm")</f>
        <v>Nov</v>
      </c>
      <c r="V8">
        <f>YEAR(Table1[[#This Row],[Order_Date]])</f>
        <v>2024</v>
      </c>
    </row>
    <row r="9" spans="1:22" x14ac:dyDescent="0.35">
      <c r="A9">
        <v>10089</v>
      </c>
      <c r="B9" t="s">
        <v>24</v>
      </c>
      <c r="C9" t="s">
        <v>220</v>
      </c>
      <c r="D9" t="s">
        <v>279</v>
      </c>
      <c r="E9" t="s">
        <v>297</v>
      </c>
      <c r="F9" s="3">
        <v>1</v>
      </c>
      <c r="G9" s="8">
        <v>83376</v>
      </c>
      <c r="H9" s="10">
        <v>5</v>
      </c>
      <c r="I9" s="8">
        <v>4169</v>
      </c>
      <c r="J9" s="8">
        <v>79207</v>
      </c>
      <c r="K9" s="8">
        <v>55000</v>
      </c>
      <c r="L9" s="8">
        <v>28376</v>
      </c>
      <c r="M9" s="4">
        <v>45605</v>
      </c>
      <c r="N9" s="4">
        <v>45610</v>
      </c>
      <c r="O9" t="s">
        <v>303</v>
      </c>
      <c r="P9" t="s">
        <v>306</v>
      </c>
      <c r="Q9" s="2" t="s">
        <v>313</v>
      </c>
      <c r="R9" t="s">
        <v>315</v>
      </c>
      <c r="S9" t="s">
        <v>320</v>
      </c>
      <c r="T9" t="str">
        <f>TEXT(Table1[[#This Row],[Order_Date]],"ddd")</f>
        <v>Sat</v>
      </c>
      <c r="U9" t="str">
        <f>TEXT(Table1[[#This Row],[Order_Date]], "mmm")</f>
        <v>Nov</v>
      </c>
      <c r="V9">
        <f>YEAR(Table1[[#This Row],[Order_Date]])</f>
        <v>2024</v>
      </c>
    </row>
    <row r="10" spans="1:22" x14ac:dyDescent="0.35">
      <c r="A10">
        <v>10177</v>
      </c>
      <c r="B10" t="s">
        <v>25</v>
      </c>
      <c r="C10" t="s">
        <v>221</v>
      </c>
      <c r="D10" t="s">
        <v>274</v>
      </c>
      <c r="E10" t="s">
        <v>294</v>
      </c>
      <c r="F10" s="3">
        <v>4</v>
      </c>
      <c r="G10" s="8">
        <v>150543</v>
      </c>
      <c r="H10" s="10">
        <v>0</v>
      </c>
      <c r="I10" s="8">
        <v>0</v>
      </c>
      <c r="J10" s="8">
        <v>602172</v>
      </c>
      <c r="K10" s="8">
        <v>420000</v>
      </c>
      <c r="L10" s="8">
        <v>182172</v>
      </c>
      <c r="M10" s="4">
        <v>45606</v>
      </c>
      <c r="N10" s="4">
        <v>45610</v>
      </c>
      <c r="O10" t="s">
        <v>300</v>
      </c>
      <c r="P10" t="s">
        <v>306</v>
      </c>
      <c r="Q10" s="2" t="s">
        <v>314</v>
      </c>
      <c r="R10" t="s">
        <v>317</v>
      </c>
      <c r="S10" t="s">
        <v>321</v>
      </c>
      <c r="T10" t="str">
        <f>TEXT(Table1[[#This Row],[Order_Date]],"ddd")</f>
        <v>Sun</v>
      </c>
      <c r="U10" t="str">
        <f>TEXT(Table1[[#This Row],[Order_Date]], "mmm")</f>
        <v>Nov</v>
      </c>
      <c r="V10">
        <f>YEAR(Table1[[#This Row],[Order_Date]])</f>
        <v>2024</v>
      </c>
    </row>
    <row r="11" spans="1:22" x14ac:dyDescent="0.35">
      <c r="A11">
        <v>10053</v>
      </c>
      <c r="B11" t="s">
        <v>26</v>
      </c>
      <c r="C11" t="s">
        <v>222</v>
      </c>
      <c r="D11" t="s">
        <v>280</v>
      </c>
      <c r="E11" t="s">
        <v>296</v>
      </c>
      <c r="F11" s="3">
        <v>1</v>
      </c>
      <c r="G11" s="8">
        <v>12355</v>
      </c>
      <c r="H11" s="10">
        <v>10</v>
      </c>
      <c r="I11" s="8">
        <v>1236</v>
      </c>
      <c r="J11" s="8">
        <v>11119</v>
      </c>
      <c r="K11" s="8">
        <v>6500</v>
      </c>
      <c r="L11" s="8">
        <v>5855</v>
      </c>
      <c r="M11" s="4">
        <v>45607</v>
      </c>
      <c r="N11" s="4">
        <v>45610</v>
      </c>
      <c r="O11" t="s">
        <v>304</v>
      </c>
      <c r="P11" t="s">
        <v>308</v>
      </c>
      <c r="Q11" s="2" t="s">
        <v>311</v>
      </c>
      <c r="R11" t="s">
        <v>317</v>
      </c>
      <c r="S11" t="s">
        <v>323</v>
      </c>
      <c r="T11" t="str">
        <f>TEXT(Table1[[#This Row],[Order_Date]],"ddd")</f>
        <v>Mon</v>
      </c>
      <c r="U11" t="str">
        <f>TEXT(Table1[[#This Row],[Order_Date]], "mmm")</f>
        <v>Nov</v>
      </c>
      <c r="V11">
        <f>YEAR(Table1[[#This Row],[Order_Date]])</f>
        <v>2024</v>
      </c>
    </row>
    <row r="12" spans="1:22" x14ac:dyDescent="0.35">
      <c r="A12">
        <v>10140</v>
      </c>
      <c r="B12" t="s">
        <v>27</v>
      </c>
      <c r="C12" t="s">
        <v>223</v>
      </c>
      <c r="D12" t="s">
        <v>275</v>
      </c>
      <c r="E12" t="s">
        <v>294</v>
      </c>
      <c r="F12" s="3">
        <v>3</v>
      </c>
      <c r="G12" s="8">
        <v>921651</v>
      </c>
      <c r="H12" s="10">
        <v>0</v>
      </c>
      <c r="I12" s="8">
        <v>0</v>
      </c>
      <c r="J12" s="8">
        <v>2764953</v>
      </c>
      <c r="K12" s="8">
        <v>2250000</v>
      </c>
      <c r="L12" s="8">
        <v>514953</v>
      </c>
      <c r="M12" s="4">
        <v>45607</v>
      </c>
      <c r="N12" s="4">
        <v>45610</v>
      </c>
      <c r="O12" t="s">
        <v>303</v>
      </c>
      <c r="P12" t="s">
        <v>309</v>
      </c>
      <c r="Q12" s="2" t="s">
        <v>310</v>
      </c>
      <c r="R12" t="s">
        <v>318</v>
      </c>
      <c r="S12" t="s">
        <v>320</v>
      </c>
      <c r="T12" t="str">
        <f>TEXT(Table1[[#This Row],[Order_Date]],"ddd")</f>
        <v>Mon</v>
      </c>
      <c r="U12" t="str">
        <f>TEXT(Table1[[#This Row],[Order_Date]], "mmm")</f>
        <v>Nov</v>
      </c>
      <c r="V12">
        <f>YEAR(Table1[[#This Row],[Order_Date]])</f>
        <v>2024</v>
      </c>
    </row>
    <row r="13" spans="1:22" x14ac:dyDescent="0.35">
      <c r="A13">
        <v>10101</v>
      </c>
      <c r="B13" t="s">
        <v>28</v>
      </c>
      <c r="C13" t="s">
        <v>224</v>
      </c>
      <c r="D13" t="s">
        <v>281</v>
      </c>
      <c r="E13" t="s">
        <v>298</v>
      </c>
      <c r="F13" s="3">
        <v>5</v>
      </c>
      <c r="G13" s="8">
        <v>17499</v>
      </c>
      <c r="H13" s="10">
        <v>10</v>
      </c>
      <c r="I13" s="8">
        <v>8750</v>
      </c>
      <c r="J13" s="8">
        <v>78745</v>
      </c>
      <c r="K13" s="8">
        <v>50000</v>
      </c>
      <c r="L13" s="8">
        <v>37495</v>
      </c>
      <c r="M13" s="4">
        <v>45608</v>
      </c>
      <c r="N13" s="4">
        <v>45613</v>
      </c>
      <c r="O13" t="s">
        <v>303</v>
      </c>
      <c r="P13" t="s">
        <v>308</v>
      </c>
      <c r="Q13" s="2" t="s">
        <v>313</v>
      </c>
      <c r="R13" t="s">
        <v>317</v>
      </c>
      <c r="S13" t="s">
        <v>324</v>
      </c>
      <c r="T13" t="str">
        <f>TEXT(Table1[[#This Row],[Order_Date]],"ddd")</f>
        <v>Tue</v>
      </c>
      <c r="U13" t="str">
        <f>TEXT(Table1[[#This Row],[Order_Date]], "mmm")</f>
        <v>Nov</v>
      </c>
      <c r="V13">
        <f>YEAR(Table1[[#This Row],[Order_Date]])</f>
        <v>2024</v>
      </c>
    </row>
    <row r="14" spans="1:22" x14ac:dyDescent="0.35">
      <c r="A14">
        <v>10162</v>
      </c>
      <c r="B14" t="s">
        <v>29</v>
      </c>
      <c r="C14" t="s">
        <v>225</v>
      </c>
      <c r="D14" t="s">
        <v>282</v>
      </c>
      <c r="E14" t="s">
        <v>297</v>
      </c>
      <c r="F14" s="3">
        <v>4</v>
      </c>
      <c r="G14" s="8">
        <v>276246</v>
      </c>
      <c r="H14" s="10">
        <v>5</v>
      </c>
      <c r="I14" s="8">
        <v>55249</v>
      </c>
      <c r="J14" s="8">
        <v>1049735</v>
      </c>
      <c r="K14" s="8">
        <v>760000</v>
      </c>
      <c r="L14" s="8">
        <v>344984</v>
      </c>
      <c r="M14" s="4">
        <v>45610</v>
      </c>
      <c r="N14" s="4">
        <v>45615</v>
      </c>
      <c r="O14" t="s">
        <v>304</v>
      </c>
      <c r="P14" t="s">
        <v>306</v>
      </c>
      <c r="Q14" s="2" t="s">
        <v>311</v>
      </c>
      <c r="R14" t="s">
        <v>315</v>
      </c>
      <c r="S14" t="s">
        <v>321</v>
      </c>
      <c r="T14" t="str">
        <f>TEXT(Table1[[#This Row],[Order_Date]],"ddd")</f>
        <v>Thu</v>
      </c>
      <c r="U14" t="str">
        <f>TEXT(Table1[[#This Row],[Order_Date]], "mmm")</f>
        <v>Nov</v>
      </c>
      <c r="V14">
        <f>YEAR(Table1[[#This Row],[Order_Date]])</f>
        <v>2024</v>
      </c>
    </row>
    <row r="15" spans="1:22" x14ac:dyDescent="0.35">
      <c r="A15">
        <v>10063</v>
      </c>
      <c r="B15" t="s">
        <v>30</v>
      </c>
      <c r="C15" t="s">
        <v>226</v>
      </c>
      <c r="D15" t="s">
        <v>283</v>
      </c>
      <c r="E15" t="s">
        <v>298</v>
      </c>
      <c r="F15" s="3">
        <v>4</v>
      </c>
      <c r="G15" s="8">
        <v>21869</v>
      </c>
      <c r="H15" s="10">
        <v>0</v>
      </c>
      <c r="I15" s="8">
        <v>0</v>
      </c>
      <c r="J15" s="8">
        <v>87476</v>
      </c>
      <c r="K15" s="8">
        <v>52000</v>
      </c>
      <c r="L15" s="8">
        <v>35476</v>
      </c>
      <c r="M15" s="4">
        <v>45610</v>
      </c>
      <c r="N15" s="4">
        <v>45613</v>
      </c>
      <c r="O15" t="s">
        <v>300</v>
      </c>
      <c r="P15" t="s">
        <v>308</v>
      </c>
      <c r="Q15" s="2" t="s">
        <v>313</v>
      </c>
      <c r="R15" t="s">
        <v>317</v>
      </c>
      <c r="S15" t="s">
        <v>324</v>
      </c>
      <c r="T15" t="str">
        <f>TEXT(Table1[[#This Row],[Order_Date]],"ddd")</f>
        <v>Thu</v>
      </c>
      <c r="U15" t="str">
        <f>TEXT(Table1[[#This Row],[Order_Date]], "mmm")</f>
        <v>Nov</v>
      </c>
      <c r="V15">
        <f>YEAR(Table1[[#This Row],[Order_Date]])</f>
        <v>2024</v>
      </c>
    </row>
    <row r="16" spans="1:22" x14ac:dyDescent="0.35">
      <c r="A16">
        <v>10062</v>
      </c>
      <c r="B16" t="s">
        <v>31</v>
      </c>
      <c r="C16" t="s">
        <v>227</v>
      </c>
      <c r="D16" t="s">
        <v>284</v>
      </c>
      <c r="E16" t="s">
        <v>294</v>
      </c>
      <c r="F16" s="3">
        <v>5</v>
      </c>
      <c r="G16" s="8">
        <v>818260</v>
      </c>
      <c r="H16" s="10">
        <v>0</v>
      </c>
      <c r="I16" s="8">
        <v>0</v>
      </c>
      <c r="J16" s="8">
        <v>4091300</v>
      </c>
      <c r="K16" s="8">
        <v>3250000</v>
      </c>
      <c r="L16" s="8">
        <v>841300</v>
      </c>
      <c r="M16" s="4">
        <v>45610</v>
      </c>
      <c r="N16" s="4">
        <v>45615</v>
      </c>
      <c r="O16" t="s">
        <v>303</v>
      </c>
      <c r="P16" t="s">
        <v>308</v>
      </c>
      <c r="Q16" s="2" t="s">
        <v>310</v>
      </c>
      <c r="R16" t="s">
        <v>315</v>
      </c>
      <c r="S16" t="s">
        <v>321</v>
      </c>
      <c r="T16" t="str">
        <f>TEXT(Table1[[#This Row],[Order_Date]],"ddd")</f>
        <v>Thu</v>
      </c>
      <c r="U16" t="str">
        <f>TEXT(Table1[[#This Row],[Order_Date]], "mmm")</f>
        <v>Nov</v>
      </c>
      <c r="V16">
        <f>YEAR(Table1[[#This Row],[Order_Date]])</f>
        <v>2024</v>
      </c>
    </row>
    <row r="17" spans="1:22" x14ac:dyDescent="0.35">
      <c r="A17">
        <v>10124</v>
      </c>
      <c r="B17" t="s">
        <v>32</v>
      </c>
      <c r="C17" t="s">
        <v>218</v>
      </c>
      <c r="D17" t="s">
        <v>285</v>
      </c>
      <c r="E17" t="s">
        <v>297</v>
      </c>
      <c r="F17" s="3">
        <v>4</v>
      </c>
      <c r="G17" s="8">
        <v>200352</v>
      </c>
      <c r="H17" s="10">
        <v>10</v>
      </c>
      <c r="I17" s="8">
        <v>80141</v>
      </c>
      <c r="J17" s="8">
        <v>721267</v>
      </c>
      <c r="K17" s="8">
        <v>520000</v>
      </c>
      <c r="L17" s="8">
        <v>281408</v>
      </c>
      <c r="M17" s="4">
        <v>45610</v>
      </c>
      <c r="N17" s="4">
        <v>45613</v>
      </c>
      <c r="O17" t="s">
        <v>301</v>
      </c>
      <c r="P17" t="s">
        <v>309</v>
      </c>
      <c r="Q17" s="2" t="s">
        <v>313</v>
      </c>
      <c r="R17" t="s">
        <v>319</v>
      </c>
      <c r="S17" t="s">
        <v>320</v>
      </c>
      <c r="T17" t="str">
        <f>TEXT(Table1[[#This Row],[Order_Date]],"ddd")</f>
        <v>Thu</v>
      </c>
      <c r="U17" t="str">
        <f>TEXT(Table1[[#This Row],[Order_Date]], "mmm")</f>
        <v>Nov</v>
      </c>
      <c r="V17">
        <f>YEAR(Table1[[#This Row],[Order_Date]])</f>
        <v>2024</v>
      </c>
    </row>
    <row r="18" spans="1:22" x14ac:dyDescent="0.35">
      <c r="A18">
        <v>10193</v>
      </c>
      <c r="B18" t="s">
        <v>33</v>
      </c>
      <c r="C18" t="s">
        <v>221</v>
      </c>
      <c r="D18" t="s">
        <v>285</v>
      </c>
      <c r="E18" t="s">
        <v>297</v>
      </c>
      <c r="F18" s="3">
        <v>4</v>
      </c>
      <c r="G18" s="8">
        <v>189820</v>
      </c>
      <c r="H18" s="10">
        <v>0</v>
      </c>
      <c r="I18" s="8">
        <v>0</v>
      </c>
      <c r="J18" s="8">
        <v>759280</v>
      </c>
      <c r="K18" s="8">
        <v>520000</v>
      </c>
      <c r="L18" s="8">
        <v>239280</v>
      </c>
      <c r="M18" s="4">
        <v>45611</v>
      </c>
      <c r="N18" s="4">
        <v>45613</v>
      </c>
      <c r="O18" t="s">
        <v>304</v>
      </c>
      <c r="P18" t="s">
        <v>306</v>
      </c>
      <c r="Q18" s="2" t="s">
        <v>314</v>
      </c>
      <c r="R18" t="s">
        <v>319</v>
      </c>
      <c r="S18" t="s">
        <v>323</v>
      </c>
      <c r="T18" t="str">
        <f>TEXT(Table1[[#This Row],[Order_Date]],"ddd")</f>
        <v>Fri</v>
      </c>
      <c r="U18" t="str">
        <f>TEXT(Table1[[#This Row],[Order_Date]], "mmm")</f>
        <v>Nov</v>
      </c>
      <c r="V18">
        <f>YEAR(Table1[[#This Row],[Order_Date]])</f>
        <v>2024</v>
      </c>
    </row>
    <row r="19" spans="1:22" x14ac:dyDescent="0.35">
      <c r="A19">
        <v>10105</v>
      </c>
      <c r="B19" t="s">
        <v>34</v>
      </c>
      <c r="C19" t="s">
        <v>228</v>
      </c>
      <c r="D19" t="s">
        <v>282</v>
      </c>
      <c r="E19" t="s">
        <v>297</v>
      </c>
      <c r="F19" s="3">
        <v>2</v>
      </c>
      <c r="G19" s="8">
        <v>285231</v>
      </c>
      <c r="H19" s="10">
        <v>5</v>
      </c>
      <c r="I19" s="8">
        <v>28523</v>
      </c>
      <c r="J19" s="8">
        <v>541939</v>
      </c>
      <c r="K19" s="8">
        <v>380000</v>
      </c>
      <c r="L19" s="8">
        <v>190462</v>
      </c>
      <c r="M19" s="4">
        <v>45614</v>
      </c>
      <c r="N19" s="4">
        <v>45615</v>
      </c>
      <c r="O19" t="s">
        <v>300</v>
      </c>
      <c r="P19" t="s">
        <v>309</v>
      </c>
      <c r="Q19" s="2" t="s">
        <v>313</v>
      </c>
      <c r="R19" t="s">
        <v>316</v>
      </c>
      <c r="S19" t="s">
        <v>321</v>
      </c>
      <c r="T19" t="str">
        <f>TEXT(Table1[[#This Row],[Order_Date]],"ddd")</f>
        <v>Mon</v>
      </c>
      <c r="U19" t="str">
        <f>TEXT(Table1[[#This Row],[Order_Date]], "mmm")</f>
        <v>Nov</v>
      </c>
      <c r="V19">
        <f>YEAR(Table1[[#This Row],[Order_Date]])</f>
        <v>2024</v>
      </c>
    </row>
    <row r="20" spans="1:22" x14ac:dyDescent="0.35">
      <c r="A20">
        <v>10013</v>
      </c>
      <c r="B20" t="s">
        <v>35</v>
      </c>
      <c r="C20" t="s">
        <v>219</v>
      </c>
      <c r="D20" t="s">
        <v>286</v>
      </c>
      <c r="E20" t="s">
        <v>296</v>
      </c>
      <c r="F20" s="3">
        <v>1</v>
      </c>
      <c r="G20" s="8">
        <v>17254</v>
      </c>
      <c r="H20" s="10">
        <v>5</v>
      </c>
      <c r="I20" s="8">
        <v>863</v>
      </c>
      <c r="J20" s="8">
        <v>16391</v>
      </c>
      <c r="K20" s="8">
        <v>10000</v>
      </c>
      <c r="L20" s="8">
        <v>7254</v>
      </c>
      <c r="M20" s="4">
        <v>45614</v>
      </c>
      <c r="N20" s="4">
        <v>45619</v>
      </c>
      <c r="O20" t="s">
        <v>300</v>
      </c>
      <c r="P20" t="s">
        <v>309</v>
      </c>
      <c r="Q20" s="2" t="s">
        <v>314</v>
      </c>
      <c r="R20" t="s">
        <v>315</v>
      </c>
      <c r="S20" t="s">
        <v>323</v>
      </c>
      <c r="T20" t="str">
        <f>TEXT(Table1[[#This Row],[Order_Date]],"ddd")</f>
        <v>Mon</v>
      </c>
      <c r="U20" t="str">
        <f>TEXT(Table1[[#This Row],[Order_Date]], "mmm")</f>
        <v>Nov</v>
      </c>
      <c r="V20">
        <f>YEAR(Table1[[#This Row],[Order_Date]])</f>
        <v>2024</v>
      </c>
    </row>
    <row r="21" spans="1:22" x14ac:dyDescent="0.35">
      <c r="A21">
        <v>10040</v>
      </c>
      <c r="B21" t="s">
        <v>36</v>
      </c>
      <c r="C21" t="s">
        <v>217</v>
      </c>
      <c r="D21" t="s">
        <v>275</v>
      </c>
      <c r="E21" t="s">
        <v>294</v>
      </c>
      <c r="F21" s="3">
        <v>2</v>
      </c>
      <c r="G21" s="8">
        <v>995974</v>
      </c>
      <c r="H21" s="10">
        <v>10</v>
      </c>
      <c r="I21" s="8">
        <v>199195</v>
      </c>
      <c r="J21" s="8">
        <v>1792753</v>
      </c>
      <c r="K21" s="8">
        <v>1500000</v>
      </c>
      <c r="L21" s="8">
        <v>491948</v>
      </c>
      <c r="M21" s="4">
        <v>45615</v>
      </c>
      <c r="N21" s="4">
        <v>45619</v>
      </c>
      <c r="O21" t="s">
        <v>299</v>
      </c>
      <c r="P21" t="s">
        <v>309</v>
      </c>
      <c r="Q21" s="2" t="s">
        <v>314</v>
      </c>
      <c r="R21" t="s">
        <v>318</v>
      </c>
      <c r="S21" t="s">
        <v>324</v>
      </c>
      <c r="T21" t="str">
        <f>TEXT(Table1[[#This Row],[Order_Date]],"ddd")</f>
        <v>Tue</v>
      </c>
      <c r="U21" t="str">
        <f>TEXT(Table1[[#This Row],[Order_Date]], "mmm")</f>
        <v>Nov</v>
      </c>
      <c r="V21">
        <f>YEAR(Table1[[#This Row],[Order_Date]])</f>
        <v>2024</v>
      </c>
    </row>
    <row r="22" spans="1:22" x14ac:dyDescent="0.35">
      <c r="A22">
        <v>10102</v>
      </c>
      <c r="B22" t="s">
        <v>37</v>
      </c>
      <c r="C22" t="s">
        <v>229</v>
      </c>
      <c r="D22" t="s">
        <v>287</v>
      </c>
      <c r="E22" t="s">
        <v>298</v>
      </c>
      <c r="F22" s="3">
        <v>1</v>
      </c>
      <c r="G22" s="8">
        <v>24976</v>
      </c>
      <c r="H22" s="10">
        <v>5</v>
      </c>
      <c r="I22" s="8">
        <v>1249</v>
      </c>
      <c r="J22" s="8">
        <v>23727</v>
      </c>
      <c r="K22" s="8">
        <v>15000</v>
      </c>
      <c r="L22" s="8">
        <v>9976</v>
      </c>
      <c r="M22" s="4">
        <v>45615</v>
      </c>
      <c r="N22" s="4">
        <v>45616</v>
      </c>
      <c r="O22" t="s">
        <v>303</v>
      </c>
      <c r="P22" t="s">
        <v>308</v>
      </c>
      <c r="Q22" s="2" t="s">
        <v>314</v>
      </c>
      <c r="R22" t="s">
        <v>318</v>
      </c>
      <c r="S22" t="s">
        <v>322</v>
      </c>
      <c r="T22" t="str">
        <f>TEXT(Table1[[#This Row],[Order_Date]],"ddd")</f>
        <v>Tue</v>
      </c>
      <c r="U22" t="str">
        <f>TEXT(Table1[[#This Row],[Order_Date]], "mmm")</f>
        <v>Nov</v>
      </c>
      <c r="V22">
        <f>YEAR(Table1[[#This Row],[Order_Date]])</f>
        <v>2024</v>
      </c>
    </row>
    <row r="23" spans="1:22" x14ac:dyDescent="0.35">
      <c r="A23">
        <v>10016</v>
      </c>
      <c r="B23" t="s">
        <v>38</v>
      </c>
      <c r="C23" t="s">
        <v>223</v>
      </c>
      <c r="D23" t="s">
        <v>278</v>
      </c>
      <c r="E23" t="s">
        <v>296</v>
      </c>
      <c r="F23" s="3">
        <v>1</v>
      </c>
      <c r="G23" s="8">
        <v>36419</v>
      </c>
      <c r="H23" s="10">
        <v>0</v>
      </c>
      <c r="I23" s="8">
        <v>0</v>
      </c>
      <c r="J23" s="8">
        <v>36419</v>
      </c>
      <c r="K23" s="8">
        <v>20000</v>
      </c>
      <c r="L23" s="8">
        <v>16419</v>
      </c>
      <c r="M23" s="4">
        <v>45615</v>
      </c>
      <c r="N23" s="4">
        <v>45620</v>
      </c>
      <c r="O23" t="s">
        <v>302</v>
      </c>
      <c r="P23" t="s">
        <v>307</v>
      </c>
      <c r="Q23" s="2" t="s">
        <v>310</v>
      </c>
      <c r="R23" t="s">
        <v>319</v>
      </c>
      <c r="S23" t="s">
        <v>323</v>
      </c>
      <c r="T23" t="str">
        <f>TEXT(Table1[[#This Row],[Order_Date]],"ddd")</f>
        <v>Tue</v>
      </c>
      <c r="U23" t="str">
        <f>TEXT(Table1[[#This Row],[Order_Date]], "mmm")</f>
        <v>Nov</v>
      </c>
      <c r="V23">
        <f>YEAR(Table1[[#This Row],[Order_Date]])</f>
        <v>2024</v>
      </c>
    </row>
    <row r="24" spans="1:22" x14ac:dyDescent="0.35">
      <c r="A24">
        <v>10121</v>
      </c>
      <c r="B24" t="s">
        <v>39</v>
      </c>
      <c r="C24" t="s">
        <v>230</v>
      </c>
      <c r="D24" t="s">
        <v>275</v>
      </c>
      <c r="E24" t="s">
        <v>294</v>
      </c>
      <c r="F24" s="3">
        <v>1</v>
      </c>
      <c r="G24" s="8">
        <v>937530</v>
      </c>
      <c r="H24" s="10">
        <v>0</v>
      </c>
      <c r="I24" s="8">
        <v>0</v>
      </c>
      <c r="J24" s="8">
        <v>937530</v>
      </c>
      <c r="K24" s="8">
        <v>750000</v>
      </c>
      <c r="L24" s="8">
        <v>187530</v>
      </c>
      <c r="M24" s="4">
        <v>45616</v>
      </c>
      <c r="N24" s="4">
        <v>45617</v>
      </c>
      <c r="O24" t="s">
        <v>304</v>
      </c>
      <c r="P24" t="s">
        <v>309</v>
      </c>
      <c r="Q24" s="2" t="s">
        <v>312</v>
      </c>
      <c r="R24" t="s">
        <v>318</v>
      </c>
      <c r="S24" t="s">
        <v>324</v>
      </c>
      <c r="T24" t="str">
        <f>TEXT(Table1[[#This Row],[Order_Date]],"ddd")</f>
        <v>Wed</v>
      </c>
      <c r="U24" t="str">
        <f>TEXT(Table1[[#This Row],[Order_Date]], "mmm")</f>
        <v>Nov</v>
      </c>
      <c r="V24">
        <f>YEAR(Table1[[#This Row],[Order_Date]])</f>
        <v>2024</v>
      </c>
    </row>
    <row r="25" spans="1:22" x14ac:dyDescent="0.35">
      <c r="A25">
        <v>10004</v>
      </c>
      <c r="B25" t="s">
        <v>29</v>
      </c>
      <c r="C25" t="s">
        <v>231</v>
      </c>
      <c r="D25" t="s">
        <v>275</v>
      </c>
      <c r="E25" t="s">
        <v>294</v>
      </c>
      <c r="F25" s="3">
        <v>4</v>
      </c>
      <c r="G25" s="8">
        <v>953442</v>
      </c>
      <c r="H25" s="10">
        <v>5</v>
      </c>
      <c r="I25" s="8">
        <v>190688</v>
      </c>
      <c r="J25" s="8">
        <v>3623080</v>
      </c>
      <c r="K25" s="8">
        <v>3000000</v>
      </c>
      <c r="L25" s="8">
        <v>813768</v>
      </c>
      <c r="M25" s="4">
        <v>45617</v>
      </c>
      <c r="N25" s="4">
        <v>45622</v>
      </c>
      <c r="O25" t="s">
        <v>303</v>
      </c>
      <c r="P25" t="s">
        <v>307</v>
      </c>
      <c r="Q25" s="2" t="s">
        <v>311</v>
      </c>
      <c r="R25" t="s">
        <v>318</v>
      </c>
      <c r="S25" t="s">
        <v>321</v>
      </c>
      <c r="T25" t="str">
        <f>TEXT(Table1[[#This Row],[Order_Date]],"ddd")</f>
        <v>Thu</v>
      </c>
      <c r="U25" t="str">
        <f>TEXT(Table1[[#This Row],[Order_Date]], "mmm")</f>
        <v>Nov</v>
      </c>
      <c r="V25">
        <f>YEAR(Table1[[#This Row],[Order_Date]])</f>
        <v>2024</v>
      </c>
    </row>
    <row r="26" spans="1:22" x14ac:dyDescent="0.35">
      <c r="A26">
        <v>10134</v>
      </c>
      <c r="B26" t="s">
        <v>40</v>
      </c>
      <c r="C26" t="s">
        <v>232</v>
      </c>
      <c r="D26" t="s">
        <v>288</v>
      </c>
      <c r="E26" t="s">
        <v>297</v>
      </c>
      <c r="F26" s="3">
        <v>4</v>
      </c>
      <c r="G26" s="8">
        <v>119383</v>
      </c>
      <c r="H26" s="10">
        <v>0</v>
      </c>
      <c r="I26" s="8">
        <v>0</v>
      </c>
      <c r="J26" s="8">
        <v>477532</v>
      </c>
      <c r="K26" s="8">
        <v>320000</v>
      </c>
      <c r="L26" s="8">
        <v>157532</v>
      </c>
      <c r="M26" s="4">
        <v>45617</v>
      </c>
      <c r="N26" s="4">
        <v>45618</v>
      </c>
      <c r="O26" t="s">
        <v>303</v>
      </c>
      <c r="P26" t="s">
        <v>309</v>
      </c>
      <c r="Q26" s="2" t="s">
        <v>314</v>
      </c>
      <c r="R26" t="s">
        <v>315</v>
      </c>
      <c r="S26" t="s">
        <v>321</v>
      </c>
      <c r="T26" t="str">
        <f>TEXT(Table1[[#This Row],[Order_Date]],"ddd")</f>
        <v>Thu</v>
      </c>
      <c r="U26" t="str">
        <f>TEXT(Table1[[#This Row],[Order_Date]], "mmm")</f>
        <v>Nov</v>
      </c>
      <c r="V26">
        <f>YEAR(Table1[[#This Row],[Order_Date]])</f>
        <v>2024</v>
      </c>
    </row>
    <row r="27" spans="1:22" x14ac:dyDescent="0.35">
      <c r="A27">
        <v>10155</v>
      </c>
      <c r="B27" t="s">
        <v>41</v>
      </c>
      <c r="C27" t="s">
        <v>233</v>
      </c>
      <c r="D27" t="s">
        <v>286</v>
      </c>
      <c r="E27" t="s">
        <v>296</v>
      </c>
      <c r="F27" s="3">
        <v>1</v>
      </c>
      <c r="G27" s="8">
        <v>18585</v>
      </c>
      <c r="H27" s="10">
        <v>0</v>
      </c>
      <c r="I27" s="8">
        <v>0</v>
      </c>
      <c r="J27" s="8">
        <v>18585</v>
      </c>
      <c r="K27" s="8">
        <v>10000</v>
      </c>
      <c r="L27" s="8">
        <v>8585</v>
      </c>
      <c r="M27" s="4">
        <v>45617</v>
      </c>
      <c r="N27" s="4">
        <v>45618</v>
      </c>
      <c r="O27" t="s">
        <v>305</v>
      </c>
      <c r="P27" t="s">
        <v>307</v>
      </c>
      <c r="Q27" s="2" t="s">
        <v>311</v>
      </c>
      <c r="R27" t="s">
        <v>318</v>
      </c>
      <c r="S27" t="s">
        <v>323</v>
      </c>
      <c r="T27" t="str">
        <f>TEXT(Table1[[#This Row],[Order_Date]],"ddd")</f>
        <v>Thu</v>
      </c>
      <c r="U27" t="str">
        <f>TEXT(Table1[[#This Row],[Order_Date]], "mmm")</f>
        <v>Nov</v>
      </c>
      <c r="V27">
        <f>YEAR(Table1[[#This Row],[Order_Date]])</f>
        <v>2024</v>
      </c>
    </row>
    <row r="28" spans="1:22" x14ac:dyDescent="0.35">
      <c r="A28">
        <v>10048</v>
      </c>
      <c r="B28" t="s">
        <v>42</v>
      </c>
      <c r="C28" t="s">
        <v>234</v>
      </c>
      <c r="D28" t="s">
        <v>285</v>
      </c>
      <c r="E28" t="s">
        <v>297</v>
      </c>
      <c r="F28" s="3">
        <v>5</v>
      </c>
      <c r="G28" s="8">
        <v>196256</v>
      </c>
      <c r="H28" s="10">
        <v>0</v>
      </c>
      <c r="I28" s="8">
        <v>0</v>
      </c>
      <c r="J28" s="8">
        <v>981280</v>
      </c>
      <c r="K28" s="8">
        <v>650000</v>
      </c>
      <c r="L28" s="8">
        <v>331280</v>
      </c>
      <c r="M28" s="4">
        <v>45618</v>
      </c>
      <c r="N28" s="4">
        <v>45622</v>
      </c>
      <c r="O28" t="s">
        <v>302</v>
      </c>
      <c r="P28" t="s">
        <v>308</v>
      </c>
      <c r="Q28" s="2" t="s">
        <v>314</v>
      </c>
      <c r="R28" t="s">
        <v>317</v>
      </c>
      <c r="S28" t="s">
        <v>320</v>
      </c>
      <c r="T28" t="str">
        <f>TEXT(Table1[[#This Row],[Order_Date]],"ddd")</f>
        <v>Fri</v>
      </c>
      <c r="U28" t="str">
        <f>TEXT(Table1[[#This Row],[Order_Date]], "mmm")</f>
        <v>Nov</v>
      </c>
      <c r="V28">
        <f>YEAR(Table1[[#This Row],[Order_Date]])</f>
        <v>2024</v>
      </c>
    </row>
    <row r="29" spans="1:22" x14ac:dyDescent="0.35">
      <c r="A29">
        <v>10116</v>
      </c>
      <c r="B29" t="s">
        <v>43</v>
      </c>
      <c r="C29" t="s">
        <v>235</v>
      </c>
      <c r="D29" t="s">
        <v>274</v>
      </c>
      <c r="E29" t="s">
        <v>294</v>
      </c>
      <c r="F29" s="3">
        <v>5</v>
      </c>
      <c r="G29" s="8">
        <v>144421</v>
      </c>
      <c r="H29" s="10">
        <v>0</v>
      </c>
      <c r="I29" s="8">
        <v>0</v>
      </c>
      <c r="J29" s="8">
        <v>722105</v>
      </c>
      <c r="K29" s="8">
        <v>525000</v>
      </c>
      <c r="L29" s="8">
        <v>197105</v>
      </c>
      <c r="M29" s="4">
        <v>45619</v>
      </c>
      <c r="N29" s="4">
        <v>45623</v>
      </c>
      <c r="O29" t="s">
        <v>300</v>
      </c>
      <c r="P29" t="s">
        <v>309</v>
      </c>
      <c r="Q29" s="2" t="s">
        <v>314</v>
      </c>
      <c r="R29" t="s">
        <v>316</v>
      </c>
      <c r="S29" t="s">
        <v>323</v>
      </c>
      <c r="T29" t="str">
        <f>TEXT(Table1[[#This Row],[Order_Date]],"ddd")</f>
        <v>Sat</v>
      </c>
      <c r="U29" t="str">
        <f>TEXT(Table1[[#This Row],[Order_Date]], "mmm")</f>
        <v>Nov</v>
      </c>
      <c r="V29">
        <f>YEAR(Table1[[#This Row],[Order_Date]])</f>
        <v>2024</v>
      </c>
    </row>
    <row r="30" spans="1:22" x14ac:dyDescent="0.35">
      <c r="A30">
        <v>10070</v>
      </c>
      <c r="B30" t="s">
        <v>44</v>
      </c>
      <c r="C30" t="s">
        <v>236</v>
      </c>
      <c r="D30" t="s">
        <v>287</v>
      </c>
      <c r="E30" t="s">
        <v>298</v>
      </c>
      <c r="F30" s="3">
        <v>3</v>
      </c>
      <c r="G30" s="8">
        <v>25259</v>
      </c>
      <c r="H30" s="10">
        <v>0</v>
      </c>
      <c r="I30" s="8">
        <v>0</v>
      </c>
      <c r="J30" s="8">
        <v>75777</v>
      </c>
      <c r="K30" s="8">
        <v>45000</v>
      </c>
      <c r="L30" s="8">
        <v>30777</v>
      </c>
      <c r="M30" s="4">
        <v>45620</v>
      </c>
      <c r="N30" s="4">
        <v>45622</v>
      </c>
      <c r="O30" t="s">
        <v>305</v>
      </c>
      <c r="P30" t="s">
        <v>308</v>
      </c>
      <c r="Q30" s="2" t="s">
        <v>312</v>
      </c>
      <c r="R30" t="s">
        <v>318</v>
      </c>
      <c r="S30" t="s">
        <v>320</v>
      </c>
      <c r="T30" t="str">
        <f>TEXT(Table1[[#This Row],[Order_Date]],"ddd")</f>
        <v>Sun</v>
      </c>
      <c r="U30" t="str">
        <f>TEXT(Table1[[#This Row],[Order_Date]], "mmm")</f>
        <v>Nov</v>
      </c>
      <c r="V30">
        <f>YEAR(Table1[[#This Row],[Order_Date]])</f>
        <v>2024</v>
      </c>
    </row>
    <row r="31" spans="1:22" x14ac:dyDescent="0.35">
      <c r="A31">
        <v>10097</v>
      </c>
      <c r="B31" t="s">
        <v>45</v>
      </c>
      <c r="C31" t="s">
        <v>215</v>
      </c>
      <c r="D31" t="s">
        <v>289</v>
      </c>
      <c r="E31" t="s">
        <v>296</v>
      </c>
      <c r="F31" s="3">
        <v>1</v>
      </c>
      <c r="G31" s="8">
        <v>15674</v>
      </c>
      <c r="H31" s="10">
        <v>5</v>
      </c>
      <c r="I31" s="8">
        <v>784</v>
      </c>
      <c r="J31" s="8">
        <v>14890</v>
      </c>
      <c r="K31" s="8">
        <v>8000</v>
      </c>
      <c r="L31" s="8">
        <v>7674</v>
      </c>
      <c r="M31" s="4">
        <v>45620</v>
      </c>
      <c r="N31" s="4">
        <v>45622</v>
      </c>
      <c r="O31" t="s">
        <v>305</v>
      </c>
      <c r="P31" t="s">
        <v>308</v>
      </c>
      <c r="Q31" s="2" t="s">
        <v>313</v>
      </c>
      <c r="R31" t="s">
        <v>318</v>
      </c>
      <c r="S31" t="s">
        <v>320</v>
      </c>
      <c r="T31" t="str">
        <f>TEXT(Table1[[#This Row],[Order_Date]],"ddd")</f>
        <v>Sun</v>
      </c>
      <c r="U31" t="str">
        <f>TEXT(Table1[[#This Row],[Order_Date]], "mmm")</f>
        <v>Nov</v>
      </c>
      <c r="V31">
        <f>YEAR(Table1[[#This Row],[Order_Date]])</f>
        <v>2024</v>
      </c>
    </row>
    <row r="32" spans="1:22" x14ac:dyDescent="0.35">
      <c r="A32">
        <v>10028</v>
      </c>
      <c r="B32" t="s">
        <v>46</v>
      </c>
      <c r="C32" t="s">
        <v>237</v>
      </c>
      <c r="D32" t="s">
        <v>290</v>
      </c>
      <c r="E32" t="s">
        <v>295</v>
      </c>
      <c r="F32" s="3">
        <v>4</v>
      </c>
      <c r="G32" s="8">
        <v>34129</v>
      </c>
      <c r="H32" s="10">
        <v>0</v>
      </c>
      <c r="I32" s="8">
        <v>0</v>
      </c>
      <c r="J32" s="8">
        <v>136516</v>
      </c>
      <c r="K32" s="8">
        <v>88000</v>
      </c>
      <c r="L32" s="8">
        <v>48516</v>
      </c>
      <c r="M32" s="4">
        <v>45620</v>
      </c>
      <c r="N32" s="4">
        <v>45624</v>
      </c>
      <c r="O32" t="s">
        <v>300</v>
      </c>
      <c r="P32" t="s">
        <v>308</v>
      </c>
      <c r="Q32" s="2" t="s">
        <v>313</v>
      </c>
      <c r="R32" t="s">
        <v>319</v>
      </c>
      <c r="S32" t="s">
        <v>320</v>
      </c>
      <c r="T32" t="str">
        <f>TEXT(Table1[[#This Row],[Order_Date]],"ddd")</f>
        <v>Sun</v>
      </c>
      <c r="U32" t="str">
        <f>TEXT(Table1[[#This Row],[Order_Date]], "mmm")</f>
        <v>Nov</v>
      </c>
      <c r="V32">
        <f>YEAR(Table1[[#This Row],[Order_Date]])</f>
        <v>2024</v>
      </c>
    </row>
    <row r="33" spans="1:22" x14ac:dyDescent="0.35">
      <c r="A33">
        <v>10126</v>
      </c>
      <c r="B33" t="s">
        <v>47</v>
      </c>
      <c r="C33" t="s">
        <v>238</v>
      </c>
      <c r="D33" t="s">
        <v>277</v>
      </c>
      <c r="E33" t="s">
        <v>295</v>
      </c>
      <c r="F33" s="3">
        <v>2</v>
      </c>
      <c r="G33" s="8">
        <v>325444</v>
      </c>
      <c r="H33" s="10">
        <v>10</v>
      </c>
      <c r="I33" s="8">
        <v>65089</v>
      </c>
      <c r="J33" s="8">
        <v>585799</v>
      </c>
      <c r="K33" s="8">
        <v>480000</v>
      </c>
      <c r="L33" s="8">
        <v>170888</v>
      </c>
      <c r="M33" s="4">
        <v>45620</v>
      </c>
      <c r="N33" s="4">
        <v>45624</v>
      </c>
      <c r="O33" t="s">
        <v>304</v>
      </c>
      <c r="P33" t="s">
        <v>306</v>
      </c>
      <c r="Q33" s="2" t="s">
        <v>313</v>
      </c>
      <c r="R33" t="s">
        <v>319</v>
      </c>
      <c r="S33" t="s">
        <v>320</v>
      </c>
      <c r="T33" t="str">
        <f>TEXT(Table1[[#This Row],[Order_Date]],"ddd")</f>
        <v>Sun</v>
      </c>
      <c r="U33" t="str">
        <f>TEXT(Table1[[#This Row],[Order_Date]], "mmm")</f>
        <v>Nov</v>
      </c>
      <c r="V33">
        <f>YEAR(Table1[[#This Row],[Order_Date]])</f>
        <v>2024</v>
      </c>
    </row>
    <row r="34" spans="1:22" x14ac:dyDescent="0.35">
      <c r="A34">
        <v>10017</v>
      </c>
      <c r="B34" t="s">
        <v>48</v>
      </c>
      <c r="C34" t="s">
        <v>225</v>
      </c>
      <c r="D34" t="s">
        <v>278</v>
      </c>
      <c r="E34" t="s">
        <v>296</v>
      </c>
      <c r="F34" s="3">
        <v>4</v>
      </c>
      <c r="G34" s="8">
        <v>36076</v>
      </c>
      <c r="H34" s="10">
        <v>0</v>
      </c>
      <c r="I34" s="8">
        <v>0</v>
      </c>
      <c r="J34" s="8">
        <v>144304</v>
      </c>
      <c r="K34" s="8">
        <v>80000</v>
      </c>
      <c r="L34" s="8">
        <v>64304</v>
      </c>
      <c r="M34" s="4">
        <v>45621</v>
      </c>
      <c r="N34" s="4">
        <v>45622</v>
      </c>
      <c r="O34" t="s">
        <v>305</v>
      </c>
      <c r="P34" t="s">
        <v>309</v>
      </c>
      <c r="Q34" s="2" t="s">
        <v>311</v>
      </c>
      <c r="R34" t="s">
        <v>317</v>
      </c>
      <c r="S34" t="s">
        <v>324</v>
      </c>
      <c r="T34" t="str">
        <f>TEXT(Table1[[#This Row],[Order_Date]],"ddd")</f>
        <v>Mon</v>
      </c>
      <c r="U34" t="str">
        <f>TEXT(Table1[[#This Row],[Order_Date]], "mmm")</f>
        <v>Nov</v>
      </c>
      <c r="V34">
        <f>YEAR(Table1[[#This Row],[Order_Date]])</f>
        <v>2024</v>
      </c>
    </row>
    <row r="35" spans="1:22" x14ac:dyDescent="0.35">
      <c r="A35">
        <v>10094</v>
      </c>
      <c r="B35" t="s">
        <v>49</v>
      </c>
      <c r="C35" t="s">
        <v>225</v>
      </c>
      <c r="D35" t="s">
        <v>275</v>
      </c>
      <c r="E35" t="s">
        <v>294</v>
      </c>
      <c r="F35" s="3">
        <v>3</v>
      </c>
      <c r="G35" s="8">
        <v>997113</v>
      </c>
      <c r="H35" s="10">
        <v>0</v>
      </c>
      <c r="I35" s="8">
        <v>0</v>
      </c>
      <c r="J35" s="8">
        <v>2991339</v>
      </c>
      <c r="K35" s="8">
        <v>2250000</v>
      </c>
      <c r="L35" s="8">
        <v>741339</v>
      </c>
      <c r="M35" s="4">
        <v>45621</v>
      </c>
      <c r="N35" s="4">
        <v>45623</v>
      </c>
      <c r="O35" t="s">
        <v>304</v>
      </c>
      <c r="P35" t="s">
        <v>309</v>
      </c>
      <c r="Q35" s="2" t="s">
        <v>310</v>
      </c>
      <c r="R35" t="s">
        <v>315</v>
      </c>
      <c r="S35" t="s">
        <v>320</v>
      </c>
      <c r="T35" t="str">
        <f>TEXT(Table1[[#This Row],[Order_Date]],"ddd")</f>
        <v>Mon</v>
      </c>
      <c r="U35" t="str">
        <f>TEXT(Table1[[#This Row],[Order_Date]], "mmm")</f>
        <v>Nov</v>
      </c>
      <c r="V35">
        <f>YEAR(Table1[[#This Row],[Order_Date]])</f>
        <v>2024</v>
      </c>
    </row>
    <row r="36" spans="1:22" x14ac:dyDescent="0.35">
      <c r="A36">
        <v>10025</v>
      </c>
      <c r="B36" t="s">
        <v>50</v>
      </c>
      <c r="C36" t="s">
        <v>230</v>
      </c>
      <c r="D36" t="s">
        <v>276</v>
      </c>
      <c r="E36" t="s">
        <v>294</v>
      </c>
      <c r="F36" s="3">
        <v>1</v>
      </c>
      <c r="G36" s="8">
        <v>716997</v>
      </c>
      <c r="H36" s="10">
        <v>10</v>
      </c>
      <c r="I36" s="8">
        <v>71700</v>
      </c>
      <c r="J36" s="8">
        <v>645297</v>
      </c>
      <c r="K36" s="8">
        <v>550000</v>
      </c>
      <c r="L36" s="8">
        <v>166997</v>
      </c>
      <c r="M36" s="4">
        <v>45622</v>
      </c>
      <c r="N36" s="4">
        <v>45623</v>
      </c>
      <c r="O36" t="s">
        <v>304</v>
      </c>
      <c r="P36" t="s">
        <v>306</v>
      </c>
      <c r="Q36" s="2" t="s">
        <v>312</v>
      </c>
      <c r="R36" t="s">
        <v>315</v>
      </c>
      <c r="S36" t="s">
        <v>322</v>
      </c>
      <c r="T36" t="str">
        <f>TEXT(Table1[[#This Row],[Order_Date]],"ddd")</f>
        <v>Tue</v>
      </c>
      <c r="U36" t="str">
        <f>TEXT(Table1[[#This Row],[Order_Date]], "mmm")</f>
        <v>Nov</v>
      </c>
      <c r="V36">
        <f>YEAR(Table1[[#This Row],[Order_Date]])</f>
        <v>2024</v>
      </c>
    </row>
    <row r="37" spans="1:22" x14ac:dyDescent="0.35">
      <c r="A37">
        <v>10083</v>
      </c>
      <c r="B37" t="s">
        <v>51</v>
      </c>
      <c r="C37" t="s">
        <v>223</v>
      </c>
      <c r="D37" t="s">
        <v>291</v>
      </c>
      <c r="E37" t="s">
        <v>295</v>
      </c>
      <c r="F37" s="3">
        <v>2</v>
      </c>
      <c r="G37" s="8">
        <v>97344</v>
      </c>
      <c r="H37" s="10">
        <v>5</v>
      </c>
      <c r="I37" s="8">
        <v>9734</v>
      </c>
      <c r="J37" s="8">
        <v>184954</v>
      </c>
      <c r="K37" s="8">
        <v>130000</v>
      </c>
      <c r="L37" s="8">
        <v>64688</v>
      </c>
      <c r="M37" s="4">
        <v>45622</v>
      </c>
      <c r="N37" s="4">
        <v>45623</v>
      </c>
      <c r="O37" t="s">
        <v>299</v>
      </c>
      <c r="P37" t="s">
        <v>308</v>
      </c>
      <c r="Q37" s="2" t="s">
        <v>311</v>
      </c>
      <c r="R37" t="s">
        <v>315</v>
      </c>
      <c r="S37" t="s">
        <v>321</v>
      </c>
      <c r="T37" t="str">
        <f>TEXT(Table1[[#This Row],[Order_Date]],"ddd")</f>
        <v>Tue</v>
      </c>
      <c r="U37" t="str">
        <f>TEXT(Table1[[#This Row],[Order_Date]], "mmm")</f>
        <v>Nov</v>
      </c>
      <c r="V37">
        <f>YEAR(Table1[[#This Row],[Order_Date]])</f>
        <v>2024</v>
      </c>
    </row>
    <row r="38" spans="1:22" x14ac:dyDescent="0.35">
      <c r="A38">
        <v>10192</v>
      </c>
      <c r="B38" t="s">
        <v>52</v>
      </c>
      <c r="C38" t="s">
        <v>239</v>
      </c>
      <c r="D38" t="s">
        <v>280</v>
      </c>
      <c r="E38" t="s">
        <v>296</v>
      </c>
      <c r="F38" s="3">
        <v>1</v>
      </c>
      <c r="G38" s="8">
        <v>11689</v>
      </c>
      <c r="H38" s="10">
        <v>0</v>
      </c>
      <c r="I38" s="8">
        <v>0</v>
      </c>
      <c r="J38" s="8">
        <v>11689</v>
      </c>
      <c r="K38" s="8">
        <v>6500</v>
      </c>
      <c r="L38" s="8">
        <v>5189</v>
      </c>
      <c r="M38" s="4">
        <v>45622</v>
      </c>
      <c r="N38" s="4">
        <v>45627</v>
      </c>
      <c r="O38" t="s">
        <v>301</v>
      </c>
      <c r="P38" t="s">
        <v>308</v>
      </c>
      <c r="Q38" s="2" t="s">
        <v>312</v>
      </c>
      <c r="R38" t="s">
        <v>317</v>
      </c>
      <c r="S38" t="s">
        <v>322</v>
      </c>
      <c r="T38" t="str">
        <f>TEXT(Table1[[#This Row],[Order_Date]],"ddd")</f>
        <v>Tue</v>
      </c>
      <c r="U38" t="str">
        <f>TEXT(Table1[[#This Row],[Order_Date]], "mmm")</f>
        <v>Nov</v>
      </c>
      <c r="V38">
        <f>YEAR(Table1[[#This Row],[Order_Date]])</f>
        <v>2024</v>
      </c>
    </row>
    <row r="39" spans="1:22" x14ac:dyDescent="0.35">
      <c r="A39">
        <v>10143</v>
      </c>
      <c r="B39" t="s">
        <v>53</v>
      </c>
      <c r="C39" t="s">
        <v>236</v>
      </c>
      <c r="D39" t="s">
        <v>280</v>
      </c>
      <c r="E39" t="s">
        <v>296</v>
      </c>
      <c r="F39" s="3">
        <v>2</v>
      </c>
      <c r="G39" s="8">
        <v>12055</v>
      </c>
      <c r="H39" s="10">
        <v>0</v>
      </c>
      <c r="I39" s="8">
        <v>0</v>
      </c>
      <c r="J39" s="8">
        <v>24110</v>
      </c>
      <c r="K39" s="8">
        <v>13000</v>
      </c>
      <c r="L39" s="8">
        <v>11110</v>
      </c>
      <c r="M39" s="4">
        <v>45623</v>
      </c>
      <c r="N39" s="4">
        <v>45624</v>
      </c>
      <c r="O39" t="s">
        <v>303</v>
      </c>
      <c r="P39" t="s">
        <v>309</v>
      </c>
      <c r="Q39" s="2" t="s">
        <v>311</v>
      </c>
      <c r="R39" t="s">
        <v>319</v>
      </c>
      <c r="S39" t="s">
        <v>323</v>
      </c>
      <c r="T39" t="str">
        <f>TEXT(Table1[[#This Row],[Order_Date]],"ddd")</f>
        <v>Wed</v>
      </c>
      <c r="U39" t="str">
        <f>TEXT(Table1[[#This Row],[Order_Date]], "mmm")</f>
        <v>Nov</v>
      </c>
      <c r="V39">
        <f>YEAR(Table1[[#This Row],[Order_Date]])</f>
        <v>2024</v>
      </c>
    </row>
    <row r="40" spans="1:22" x14ac:dyDescent="0.35">
      <c r="A40">
        <v>10001</v>
      </c>
      <c r="B40" t="s">
        <v>54</v>
      </c>
      <c r="C40" t="s">
        <v>240</v>
      </c>
      <c r="D40" t="s">
        <v>284</v>
      </c>
      <c r="E40" t="s">
        <v>294</v>
      </c>
      <c r="F40" s="3">
        <v>3</v>
      </c>
      <c r="G40" s="8">
        <v>828316</v>
      </c>
      <c r="H40" s="10">
        <v>0</v>
      </c>
      <c r="I40" s="8">
        <v>0</v>
      </c>
      <c r="J40" s="8">
        <v>2484948</v>
      </c>
      <c r="K40" s="8">
        <v>1950000</v>
      </c>
      <c r="L40" s="8">
        <v>534948</v>
      </c>
      <c r="M40" s="4">
        <v>45623</v>
      </c>
      <c r="N40" s="4">
        <v>45628</v>
      </c>
      <c r="O40" t="s">
        <v>301</v>
      </c>
      <c r="P40" t="s">
        <v>308</v>
      </c>
      <c r="Q40" s="2" t="s">
        <v>310</v>
      </c>
      <c r="R40" t="s">
        <v>318</v>
      </c>
      <c r="S40" t="s">
        <v>321</v>
      </c>
      <c r="T40" t="str">
        <f>TEXT(Table1[[#This Row],[Order_Date]],"ddd")</f>
        <v>Wed</v>
      </c>
      <c r="U40" t="str">
        <f>TEXT(Table1[[#This Row],[Order_Date]], "mmm")</f>
        <v>Nov</v>
      </c>
      <c r="V40">
        <f>YEAR(Table1[[#This Row],[Order_Date]])</f>
        <v>2024</v>
      </c>
    </row>
    <row r="41" spans="1:22" x14ac:dyDescent="0.35">
      <c r="A41">
        <v>10018</v>
      </c>
      <c r="B41" t="s">
        <v>55</v>
      </c>
      <c r="C41" t="s">
        <v>230</v>
      </c>
      <c r="D41" t="s">
        <v>279</v>
      </c>
      <c r="E41" t="s">
        <v>297</v>
      </c>
      <c r="F41" s="3">
        <v>1</v>
      </c>
      <c r="G41" s="8">
        <v>84172</v>
      </c>
      <c r="H41" s="10">
        <v>0</v>
      </c>
      <c r="I41" s="8">
        <v>0</v>
      </c>
      <c r="J41" s="8">
        <v>84172</v>
      </c>
      <c r="K41" s="8">
        <v>55000</v>
      </c>
      <c r="L41" s="8">
        <v>29172</v>
      </c>
      <c r="M41" s="4">
        <v>45624</v>
      </c>
      <c r="N41" s="4">
        <v>45626</v>
      </c>
      <c r="O41" t="s">
        <v>302</v>
      </c>
      <c r="P41" t="s">
        <v>309</v>
      </c>
      <c r="Q41" s="2" t="s">
        <v>312</v>
      </c>
      <c r="R41" t="s">
        <v>315</v>
      </c>
      <c r="S41" t="s">
        <v>322</v>
      </c>
      <c r="T41" t="str">
        <f>TEXT(Table1[[#This Row],[Order_Date]],"ddd")</f>
        <v>Thu</v>
      </c>
      <c r="U41" t="str">
        <f>TEXT(Table1[[#This Row],[Order_Date]], "mmm")</f>
        <v>Nov</v>
      </c>
      <c r="V41">
        <f>YEAR(Table1[[#This Row],[Order_Date]])</f>
        <v>2024</v>
      </c>
    </row>
    <row r="42" spans="1:22" x14ac:dyDescent="0.35">
      <c r="A42">
        <v>10174</v>
      </c>
      <c r="B42" t="s">
        <v>56</v>
      </c>
      <c r="C42" t="s">
        <v>241</v>
      </c>
      <c r="D42" t="s">
        <v>292</v>
      </c>
      <c r="E42" t="s">
        <v>296</v>
      </c>
      <c r="F42" s="3">
        <v>5</v>
      </c>
      <c r="G42" s="8">
        <v>183531</v>
      </c>
      <c r="H42" s="10">
        <v>0</v>
      </c>
      <c r="I42" s="8">
        <v>0</v>
      </c>
      <c r="J42" s="8">
        <v>917655</v>
      </c>
      <c r="K42" s="8">
        <v>650000</v>
      </c>
      <c r="L42" s="8">
        <v>267655</v>
      </c>
      <c r="M42" s="4">
        <v>45624</v>
      </c>
      <c r="N42" s="4">
        <v>45629</v>
      </c>
      <c r="O42" t="s">
        <v>305</v>
      </c>
      <c r="P42" t="s">
        <v>307</v>
      </c>
      <c r="Q42" s="2" t="s">
        <v>314</v>
      </c>
      <c r="R42" t="s">
        <v>318</v>
      </c>
      <c r="S42" t="s">
        <v>321</v>
      </c>
      <c r="T42" t="str">
        <f>TEXT(Table1[[#This Row],[Order_Date]],"ddd")</f>
        <v>Thu</v>
      </c>
      <c r="U42" t="str">
        <f>TEXT(Table1[[#This Row],[Order_Date]], "mmm")</f>
        <v>Nov</v>
      </c>
      <c r="V42">
        <f>YEAR(Table1[[#This Row],[Order_Date]])</f>
        <v>2024</v>
      </c>
    </row>
    <row r="43" spans="1:22" x14ac:dyDescent="0.35">
      <c r="A43">
        <v>10009</v>
      </c>
      <c r="B43" t="s">
        <v>57</v>
      </c>
      <c r="C43" t="s">
        <v>242</v>
      </c>
      <c r="D43" t="s">
        <v>290</v>
      </c>
      <c r="E43" t="s">
        <v>295</v>
      </c>
      <c r="F43" s="3">
        <v>4</v>
      </c>
      <c r="G43" s="8">
        <v>33568</v>
      </c>
      <c r="H43" s="10">
        <v>0</v>
      </c>
      <c r="I43" s="8">
        <v>0</v>
      </c>
      <c r="J43" s="8">
        <v>134272</v>
      </c>
      <c r="K43" s="8">
        <v>88000</v>
      </c>
      <c r="L43" s="8">
        <v>46272</v>
      </c>
      <c r="M43" s="4">
        <v>45625</v>
      </c>
      <c r="N43" s="4">
        <v>45627</v>
      </c>
      <c r="O43" t="s">
        <v>305</v>
      </c>
      <c r="P43" t="s">
        <v>308</v>
      </c>
      <c r="Q43" s="2" t="s">
        <v>310</v>
      </c>
      <c r="R43" t="s">
        <v>315</v>
      </c>
      <c r="S43" t="s">
        <v>324</v>
      </c>
      <c r="T43" t="str">
        <f>TEXT(Table1[[#This Row],[Order_Date]],"ddd")</f>
        <v>Fri</v>
      </c>
      <c r="U43" t="str">
        <f>TEXT(Table1[[#This Row],[Order_Date]], "mmm")</f>
        <v>Nov</v>
      </c>
      <c r="V43">
        <f>YEAR(Table1[[#This Row],[Order_Date]])</f>
        <v>2024</v>
      </c>
    </row>
    <row r="44" spans="1:22" x14ac:dyDescent="0.35">
      <c r="A44">
        <v>10099</v>
      </c>
      <c r="B44" t="s">
        <v>58</v>
      </c>
      <c r="C44" t="s">
        <v>243</v>
      </c>
      <c r="D44" t="s">
        <v>288</v>
      </c>
      <c r="E44" t="s">
        <v>297</v>
      </c>
      <c r="F44" s="3">
        <v>2</v>
      </c>
      <c r="G44" s="8">
        <v>120483</v>
      </c>
      <c r="H44" s="10">
        <v>0</v>
      </c>
      <c r="I44" s="8">
        <v>0</v>
      </c>
      <c r="J44" s="8">
        <v>240966</v>
      </c>
      <c r="K44" s="8">
        <v>160000</v>
      </c>
      <c r="L44" s="8">
        <v>80966</v>
      </c>
      <c r="M44" s="4">
        <v>45625</v>
      </c>
      <c r="N44" s="4">
        <v>45626</v>
      </c>
      <c r="O44" t="s">
        <v>302</v>
      </c>
      <c r="P44" t="s">
        <v>307</v>
      </c>
      <c r="Q44" s="2" t="s">
        <v>311</v>
      </c>
      <c r="R44" t="s">
        <v>316</v>
      </c>
      <c r="S44" t="s">
        <v>323</v>
      </c>
      <c r="T44" t="str">
        <f>TEXT(Table1[[#This Row],[Order_Date]],"ddd")</f>
        <v>Fri</v>
      </c>
      <c r="U44" t="str">
        <f>TEXT(Table1[[#This Row],[Order_Date]], "mmm")</f>
        <v>Nov</v>
      </c>
      <c r="V44">
        <f>YEAR(Table1[[#This Row],[Order_Date]])</f>
        <v>2024</v>
      </c>
    </row>
    <row r="45" spans="1:22" x14ac:dyDescent="0.35">
      <c r="A45">
        <v>10199</v>
      </c>
      <c r="B45" t="s">
        <v>59</v>
      </c>
      <c r="C45" t="s">
        <v>216</v>
      </c>
      <c r="D45" t="s">
        <v>291</v>
      </c>
      <c r="E45" t="s">
        <v>295</v>
      </c>
      <c r="F45" s="3">
        <v>1</v>
      </c>
      <c r="G45" s="8">
        <v>92262</v>
      </c>
      <c r="H45" s="10">
        <v>0</v>
      </c>
      <c r="I45" s="8">
        <v>0</v>
      </c>
      <c r="J45" s="8">
        <v>92262</v>
      </c>
      <c r="K45" s="8">
        <v>65000</v>
      </c>
      <c r="L45" s="8">
        <v>27262</v>
      </c>
      <c r="M45" s="4">
        <v>45627</v>
      </c>
      <c r="N45" s="4">
        <v>45631</v>
      </c>
      <c r="O45" t="s">
        <v>302</v>
      </c>
      <c r="P45" t="s">
        <v>309</v>
      </c>
      <c r="Q45" s="2" t="s">
        <v>314</v>
      </c>
      <c r="R45" t="s">
        <v>318</v>
      </c>
      <c r="S45" t="s">
        <v>322</v>
      </c>
      <c r="T45" t="str">
        <f>TEXT(Table1[[#This Row],[Order_Date]],"ddd")</f>
        <v>Sun</v>
      </c>
      <c r="U45" t="str">
        <f>TEXT(Table1[[#This Row],[Order_Date]], "mmm")</f>
        <v>Dec</v>
      </c>
      <c r="V45">
        <f>YEAR(Table1[[#This Row],[Order_Date]])</f>
        <v>2024</v>
      </c>
    </row>
    <row r="46" spans="1:22" x14ac:dyDescent="0.35">
      <c r="A46">
        <v>10060</v>
      </c>
      <c r="B46" t="s">
        <v>60</v>
      </c>
      <c r="C46" t="s">
        <v>244</v>
      </c>
      <c r="D46" t="s">
        <v>281</v>
      </c>
      <c r="E46" t="s">
        <v>298</v>
      </c>
      <c r="F46" s="3">
        <v>3</v>
      </c>
      <c r="G46" s="8">
        <v>17652</v>
      </c>
      <c r="H46" s="10">
        <v>0</v>
      </c>
      <c r="I46" s="8">
        <v>0</v>
      </c>
      <c r="J46" s="8">
        <v>52956</v>
      </c>
      <c r="K46" s="8">
        <v>30000</v>
      </c>
      <c r="L46" s="8">
        <v>22956</v>
      </c>
      <c r="M46" s="4">
        <v>45627</v>
      </c>
      <c r="N46" s="4">
        <v>45629</v>
      </c>
      <c r="O46" t="s">
        <v>303</v>
      </c>
      <c r="P46" t="s">
        <v>307</v>
      </c>
      <c r="Q46" s="2" t="s">
        <v>312</v>
      </c>
      <c r="R46" t="s">
        <v>316</v>
      </c>
      <c r="S46" t="s">
        <v>322</v>
      </c>
      <c r="T46" t="str">
        <f>TEXT(Table1[[#This Row],[Order_Date]],"ddd")</f>
        <v>Sun</v>
      </c>
      <c r="U46" t="str">
        <f>TEXT(Table1[[#This Row],[Order_Date]], "mmm")</f>
        <v>Dec</v>
      </c>
      <c r="V46">
        <f>YEAR(Table1[[#This Row],[Order_Date]])</f>
        <v>2024</v>
      </c>
    </row>
    <row r="47" spans="1:22" x14ac:dyDescent="0.35">
      <c r="A47">
        <v>10131</v>
      </c>
      <c r="B47" t="s">
        <v>61</v>
      </c>
      <c r="C47" t="s">
        <v>219</v>
      </c>
      <c r="D47" t="s">
        <v>282</v>
      </c>
      <c r="E47" t="s">
        <v>297</v>
      </c>
      <c r="F47" s="3">
        <v>5</v>
      </c>
      <c r="G47" s="8">
        <v>292160</v>
      </c>
      <c r="H47" s="10">
        <v>10</v>
      </c>
      <c r="I47" s="8">
        <v>146080</v>
      </c>
      <c r="J47" s="8">
        <v>1314720</v>
      </c>
      <c r="K47" s="8">
        <v>950000</v>
      </c>
      <c r="L47" s="8">
        <v>510800</v>
      </c>
      <c r="M47" s="4">
        <v>45628</v>
      </c>
      <c r="N47" s="4">
        <v>45631</v>
      </c>
      <c r="O47" t="s">
        <v>301</v>
      </c>
      <c r="P47" t="s">
        <v>309</v>
      </c>
      <c r="Q47" s="2" t="s">
        <v>311</v>
      </c>
      <c r="R47" t="s">
        <v>315</v>
      </c>
      <c r="S47" t="s">
        <v>323</v>
      </c>
      <c r="T47" t="str">
        <f>TEXT(Table1[[#This Row],[Order_Date]],"ddd")</f>
        <v>Mon</v>
      </c>
      <c r="U47" t="str">
        <f>TEXT(Table1[[#This Row],[Order_Date]], "mmm")</f>
        <v>Dec</v>
      </c>
      <c r="V47">
        <f>YEAR(Table1[[#This Row],[Order_Date]])</f>
        <v>2024</v>
      </c>
    </row>
    <row r="48" spans="1:22" x14ac:dyDescent="0.35">
      <c r="A48">
        <v>10152</v>
      </c>
      <c r="B48" t="s">
        <v>62</v>
      </c>
      <c r="C48" t="s">
        <v>228</v>
      </c>
      <c r="D48" t="s">
        <v>281</v>
      </c>
      <c r="E48" t="s">
        <v>298</v>
      </c>
      <c r="F48" s="3">
        <v>4</v>
      </c>
      <c r="G48" s="8">
        <v>18324</v>
      </c>
      <c r="H48" s="10">
        <v>0</v>
      </c>
      <c r="I48" s="8">
        <v>0</v>
      </c>
      <c r="J48" s="8">
        <v>73296</v>
      </c>
      <c r="K48" s="8">
        <v>40000</v>
      </c>
      <c r="L48" s="8">
        <v>33296</v>
      </c>
      <c r="M48" s="4">
        <v>45629</v>
      </c>
      <c r="N48" s="4">
        <v>45634</v>
      </c>
      <c r="O48" t="s">
        <v>305</v>
      </c>
      <c r="P48" t="s">
        <v>307</v>
      </c>
      <c r="Q48" s="2" t="s">
        <v>314</v>
      </c>
      <c r="R48" t="s">
        <v>318</v>
      </c>
      <c r="S48" t="s">
        <v>324</v>
      </c>
      <c r="T48" t="str">
        <f>TEXT(Table1[[#This Row],[Order_Date]],"ddd")</f>
        <v>Tue</v>
      </c>
      <c r="U48" t="str">
        <f>TEXT(Table1[[#This Row],[Order_Date]], "mmm")</f>
        <v>Dec</v>
      </c>
      <c r="V48">
        <f>YEAR(Table1[[#This Row],[Order_Date]])</f>
        <v>2024</v>
      </c>
    </row>
    <row r="49" spans="1:22" x14ac:dyDescent="0.35">
      <c r="A49">
        <v>10030</v>
      </c>
      <c r="B49" t="s">
        <v>63</v>
      </c>
      <c r="C49" t="s">
        <v>234</v>
      </c>
      <c r="D49" t="s">
        <v>282</v>
      </c>
      <c r="E49" t="s">
        <v>297</v>
      </c>
      <c r="F49" s="3">
        <v>5</v>
      </c>
      <c r="G49" s="8">
        <v>281471</v>
      </c>
      <c r="H49" s="10">
        <v>5</v>
      </c>
      <c r="I49" s="8">
        <v>70368</v>
      </c>
      <c r="J49" s="8">
        <v>1336987</v>
      </c>
      <c r="K49" s="8">
        <v>950000</v>
      </c>
      <c r="L49" s="8">
        <v>457355</v>
      </c>
      <c r="M49" s="4">
        <v>45629</v>
      </c>
      <c r="N49" s="4">
        <v>45630</v>
      </c>
      <c r="O49" t="s">
        <v>303</v>
      </c>
      <c r="P49" t="s">
        <v>306</v>
      </c>
      <c r="Q49" s="2" t="s">
        <v>313</v>
      </c>
      <c r="R49" t="s">
        <v>319</v>
      </c>
      <c r="S49" t="s">
        <v>322</v>
      </c>
      <c r="T49" t="str">
        <f>TEXT(Table1[[#This Row],[Order_Date]],"ddd")</f>
        <v>Tue</v>
      </c>
      <c r="U49" t="str">
        <f>TEXT(Table1[[#This Row],[Order_Date]], "mmm")</f>
        <v>Dec</v>
      </c>
      <c r="V49">
        <f>YEAR(Table1[[#This Row],[Order_Date]])</f>
        <v>2024</v>
      </c>
    </row>
    <row r="50" spans="1:22" x14ac:dyDescent="0.35">
      <c r="A50">
        <v>10113</v>
      </c>
      <c r="B50" t="s">
        <v>64</v>
      </c>
      <c r="C50" t="s">
        <v>215</v>
      </c>
      <c r="D50" t="s">
        <v>284</v>
      </c>
      <c r="E50" t="s">
        <v>294</v>
      </c>
      <c r="F50" s="3">
        <v>2</v>
      </c>
      <c r="G50" s="8">
        <v>833121</v>
      </c>
      <c r="H50" s="10">
        <v>0</v>
      </c>
      <c r="I50" s="8">
        <v>0</v>
      </c>
      <c r="J50" s="8">
        <v>1666242</v>
      </c>
      <c r="K50" s="8">
        <v>1300000</v>
      </c>
      <c r="L50" s="8">
        <v>366242</v>
      </c>
      <c r="M50" s="4">
        <v>45632</v>
      </c>
      <c r="N50" s="4">
        <v>45635</v>
      </c>
      <c r="O50" t="s">
        <v>303</v>
      </c>
      <c r="P50" t="s">
        <v>308</v>
      </c>
      <c r="Q50" s="2" t="s">
        <v>313</v>
      </c>
      <c r="R50" t="s">
        <v>319</v>
      </c>
      <c r="S50" t="s">
        <v>324</v>
      </c>
      <c r="T50" t="str">
        <f>TEXT(Table1[[#This Row],[Order_Date]],"ddd")</f>
        <v>Fri</v>
      </c>
      <c r="U50" t="str">
        <f>TEXT(Table1[[#This Row],[Order_Date]], "mmm")</f>
        <v>Dec</v>
      </c>
      <c r="V50">
        <f>YEAR(Table1[[#This Row],[Order_Date]])</f>
        <v>2024</v>
      </c>
    </row>
    <row r="51" spans="1:22" x14ac:dyDescent="0.35">
      <c r="A51">
        <v>10081</v>
      </c>
      <c r="B51" t="s">
        <v>65</v>
      </c>
      <c r="C51" t="s">
        <v>216</v>
      </c>
      <c r="D51" t="s">
        <v>279</v>
      </c>
      <c r="E51" t="s">
        <v>297</v>
      </c>
      <c r="F51" s="3">
        <v>5</v>
      </c>
      <c r="G51" s="8">
        <v>88489</v>
      </c>
      <c r="H51" s="10">
        <v>0</v>
      </c>
      <c r="I51" s="8">
        <v>0</v>
      </c>
      <c r="J51" s="8">
        <v>442445</v>
      </c>
      <c r="K51" s="8">
        <v>275000</v>
      </c>
      <c r="L51" s="8">
        <v>167445</v>
      </c>
      <c r="M51" s="4">
        <v>45633</v>
      </c>
      <c r="N51" s="4">
        <v>45637</v>
      </c>
      <c r="O51" t="s">
        <v>300</v>
      </c>
      <c r="P51" t="s">
        <v>309</v>
      </c>
      <c r="Q51" s="2" t="s">
        <v>313</v>
      </c>
      <c r="R51" t="s">
        <v>315</v>
      </c>
      <c r="S51" t="s">
        <v>320</v>
      </c>
      <c r="T51" t="str">
        <f>TEXT(Table1[[#This Row],[Order_Date]],"ddd")</f>
        <v>Sat</v>
      </c>
      <c r="U51" t="str">
        <f>TEXT(Table1[[#This Row],[Order_Date]], "mmm")</f>
        <v>Dec</v>
      </c>
      <c r="V51">
        <f>YEAR(Table1[[#This Row],[Order_Date]])</f>
        <v>2024</v>
      </c>
    </row>
    <row r="52" spans="1:22" x14ac:dyDescent="0.35">
      <c r="A52">
        <v>10091</v>
      </c>
      <c r="B52" t="s">
        <v>66</v>
      </c>
      <c r="C52" t="s">
        <v>245</v>
      </c>
      <c r="D52" t="s">
        <v>277</v>
      </c>
      <c r="E52" t="s">
        <v>295</v>
      </c>
      <c r="F52" s="3">
        <v>1</v>
      </c>
      <c r="G52" s="8">
        <v>318987</v>
      </c>
      <c r="H52" s="10">
        <v>0</v>
      </c>
      <c r="I52" s="8">
        <v>0</v>
      </c>
      <c r="J52" s="8">
        <v>318987</v>
      </c>
      <c r="K52" s="8">
        <v>240000</v>
      </c>
      <c r="L52" s="8">
        <v>78987</v>
      </c>
      <c r="M52" s="4">
        <v>45633</v>
      </c>
      <c r="N52" s="4">
        <v>45635</v>
      </c>
      <c r="O52" t="s">
        <v>300</v>
      </c>
      <c r="P52" t="s">
        <v>306</v>
      </c>
      <c r="Q52" s="2" t="s">
        <v>312</v>
      </c>
      <c r="R52" t="s">
        <v>317</v>
      </c>
      <c r="S52" t="s">
        <v>321</v>
      </c>
      <c r="T52" t="str">
        <f>TEXT(Table1[[#This Row],[Order_Date]],"ddd")</f>
        <v>Sat</v>
      </c>
      <c r="U52" t="str">
        <f>TEXT(Table1[[#This Row],[Order_Date]], "mmm")</f>
        <v>Dec</v>
      </c>
      <c r="V52">
        <f>YEAR(Table1[[#This Row],[Order_Date]])</f>
        <v>2024</v>
      </c>
    </row>
    <row r="53" spans="1:22" x14ac:dyDescent="0.35">
      <c r="A53">
        <v>10109</v>
      </c>
      <c r="B53" t="s">
        <v>67</v>
      </c>
      <c r="C53" t="s">
        <v>227</v>
      </c>
      <c r="D53" t="s">
        <v>291</v>
      </c>
      <c r="E53" t="s">
        <v>295</v>
      </c>
      <c r="F53" s="3">
        <v>3</v>
      </c>
      <c r="G53" s="8">
        <v>93585</v>
      </c>
      <c r="H53" s="10">
        <v>0</v>
      </c>
      <c r="I53" s="8">
        <v>0</v>
      </c>
      <c r="J53" s="8">
        <v>280755</v>
      </c>
      <c r="K53" s="8">
        <v>195000</v>
      </c>
      <c r="L53" s="8">
        <v>85755</v>
      </c>
      <c r="M53" s="4">
        <v>45633</v>
      </c>
      <c r="N53" s="4">
        <v>45638</v>
      </c>
      <c r="O53" t="s">
        <v>305</v>
      </c>
      <c r="P53" t="s">
        <v>307</v>
      </c>
      <c r="Q53" s="2" t="s">
        <v>313</v>
      </c>
      <c r="R53" t="s">
        <v>317</v>
      </c>
      <c r="S53" t="s">
        <v>321</v>
      </c>
      <c r="T53" t="str">
        <f>TEXT(Table1[[#This Row],[Order_Date]],"ddd")</f>
        <v>Sat</v>
      </c>
      <c r="U53" t="str">
        <f>TEXT(Table1[[#This Row],[Order_Date]], "mmm")</f>
        <v>Dec</v>
      </c>
      <c r="V53">
        <f>YEAR(Table1[[#This Row],[Order_Date]])</f>
        <v>2024</v>
      </c>
    </row>
    <row r="54" spans="1:22" x14ac:dyDescent="0.35">
      <c r="A54">
        <v>10085</v>
      </c>
      <c r="B54" t="s">
        <v>68</v>
      </c>
      <c r="C54" t="s">
        <v>236</v>
      </c>
      <c r="D54" t="s">
        <v>280</v>
      </c>
      <c r="E54" t="s">
        <v>296</v>
      </c>
      <c r="F54" s="3">
        <v>2</v>
      </c>
      <c r="G54" s="8">
        <v>11997</v>
      </c>
      <c r="H54" s="10">
        <v>10</v>
      </c>
      <c r="I54" s="8">
        <v>2399</v>
      </c>
      <c r="J54" s="8">
        <v>21595</v>
      </c>
      <c r="K54" s="8">
        <v>13000</v>
      </c>
      <c r="L54" s="8">
        <v>10994</v>
      </c>
      <c r="M54" s="4">
        <v>45633</v>
      </c>
      <c r="N54" s="4">
        <v>45635</v>
      </c>
      <c r="O54" t="s">
        <v>299</v>
      </c>
      <c r="P54" t="s">
        <v>306</v>
      </c>
      <c r="Q54" s="2" t="s">
        <v>310</v>
      </c>
      <c r="R54" t="s">
        <v>319</v>
      </c>
      <c r="S54" t="s">
        <v>321</v>
      </c>
      <c r="T54" t="str">
        <f>TEXT(Table1[[#This Row],[Order_Date]],"ddd")</f>
        <v>Sat</v>
      </c>
      <c r="U54" t="str">
        <f>TEXT(Table1[[#This Row],[Order_Date]], "mmm")</f>
        <v>Dec</v>
      </c>
      <c r="V54">
        <f>YEAR(Table1[[#This Row],[Order_Date]])</f>
        <v>2024</v>
      </c>
    </row>
    <row r="55" spans="1:22" x14ac:dyDescent="0.35">
      <c r="A55">
        <v>10127</v>
      </c>
      <c r="B55" t="s">
        <v>69</v>
      </c>
      <c r="C55" t="s">
        <v>227</v>
      </c>
      <c r="D55" t="s">
        <v>277</v>
      </c>
      <c r="E55" t="s">
        <v>295</v>
      </c>
      <c r="F55" s="3">
        <v>4</v>
      </c>
      <c r="G55" s="8">
        <v>310144</v>
      </c>
      <c r="H55" s="10">
        <v>0</v>
      </c>
      <c r="I55" s="8">
        <v>0</v>
      </c>
      <c r="J55" s="8">
        <v>1240576</v>
      </c>
      <c r="K55" s="8">
        <v>960000</v>
      </c>
      <c r="L55" s="8">
        <v>280576</v>
      </c>
      <c r="M55" s="4">
        <v>45636</v>
      </c>
      <c r="N55" s="4">
        <v>45637</v>
      </c>
      <c r="O55" t="s">
        <v>303</v>
      </c>
      <c r="P55" t="s">
        <v>308</v>
      </c>
      <c r="Q55" s="2" t="s">
        <v>312</v>
      </c>
      <c r="R55" t="s">
        <v>316</v>
      </c>
      <c r="S55" t="s">
        <v>320</v>
      </c>
      <c r="T55" t="str">
        <f>TEXT(Table1[[#This Row],[Order_Date]],"ddd")</f>
        <v>Tue</v>
      </c>
      <c r="U55" t="str">
        <f>TEXT(Table1[[#This Row],[Order_Date]], "mmm")</f>
        <v>Dec</v>
      </c>
      <c r="V55">
        <f>YEAR(Table1[[#This Row],[Order_Date]])</f>
        <v>2024</v>
      </c>
    </row>
    <row r="56" spans="1:22" x14ac:dyDescent="0.35">
      <c r="A56">
        <v>10110</v>
      </c>
      <c r="B56" t="s">
        <v>70</v>
      </c>
      <c r="C56" t="s">
        <v>236</v>
      </c>
      <c r="D56" t="s">
        <v>289</v>
      </c>
      <c r="E56" t="s">
        <v>296</v>
      </c>
      <c r="F56" s="3">
        <v>4</v>
      </c>
      <c r="G56" s="8">
        <v>14880</v>
      </c>
      <c r="H56" s="10">
        <v>0</v>
      </c>
      <c r="I56" s="8">
        <v>0</v>
      </c>
      <c r="J56" s="8">
        <v>59520</v>
      </c>
      <c r="K56" s="8">
        <v>32000</v>
      </c>
      <c r="L56" s="8">
        <v>27520</v>
      </c>
      <c r="M56" s="4">
        <v>45637</v>
      </c>
      <c r="N56" s="4">
        <v>45640</v>
      </c>
      <c r="O56" t="s">
        <v>303</v>
      </c>
      <c r="P56" t="s">
        <v>308</v>
      </c>
      <c r="Q56" s="2" t="s">
        <v>312</v>
      </c>
      <c r="R56" t="s">
        <v>319</v>
      </c>
      <c r="S56" t="s">
        <v>321</v>
      </c>
      <c r="T56" t="str">
        <f>TEXT(Table1[[#This Row],[Order_Date]],"ddd")</f>
        <v>Wed</v>
      </c>
      <c r="U56" t="str">
        <f>TEXT(Table1[[#This Row],[Order_Date]], "mmm")</f>
        <v>Dec</v>
      </c>
      <c r="V56">
        <f>YEAR(Table1[[#This Row],[Order_Date]])</f>
        <v>2024</v>
      </c>
    </row>
    <row r="57" spans="1:22" x14ac:dyDescent="0.35">
      <c r="A57">
        <v>10066</v>
      </c>
      <c r="B57" t="s">
        <v>71</v>
      </c>
      <c r="C57" t="s">
        <v>221</v>
      </c>
      <c r="D57" t="s">
        <v>289</v>
      </c>
      <c r="E57" t="s">
        <v>296</v>
      </c>
      <c r="F57" s="3">
        <v>2</v>
      </c>
      <c r="G57" s="8">
        <v>14647</v>
      </c>
      <c r="H57" s="10">
        <v>0</v>
      </c>
      <c r="I57" s="8">
        <v>0</v>
      </c>
      <c r="J57" s="8">
        <v>29294</v>
      </c>
      <c r="K57" s="8">
        <v>16000</v>
      </c>
      <c r="L57" s="8">
        <v>13294</v>
      </c>
      <c r="M57" s="4">
        <v>45637</v>
      </c>
      <c r="N57" s="4">
        <v>45639</v>
      </c>
      <c r="O57" t="s">
        <v>302</v>
      </c>
      <c r="P57" t="s">
        <v>307</v>
      </c>
      <c r="Q57" s="2" t="s">
        <v>313</v>
      </c>
      <c r="R57" t="s">
        <v>318</v>
      </c>
      <c r="S57" t="s">
        <v>321</v>
      </c>
      <c r="T57" t="str">
        <f>TEXT(Table1[[#This Row],[Order_Date]],"ddd")</f>
        <v>Wed</v>
      </c>
      <c r="U57" t="str">
        <f>TEXT(Table1[[#This Row],[Order_Date]], "mmm")</f>
        <v>Dec</v>
      </c>
      <c r="V57">
        <f>YEAR(Table1[[#This Row],[Order_Date]])</f>
        <v>2024</v>
      </c>
    </row>
    <row r="58" spans="1:22" x14ac:dyDescent="0.35">
      <c r="A58">
        <v>10153</v>
      </c>
      <c r="B58" t="s">
        <v>72</v>
      </c>
      <c r="C58" t="s">
        <v>224</v>
      </c>
      <c r="D58" t="s">
        <v>279</v>
      </c>
      <c r="E58" t="s">
        <v>297</v>
      </c>
      <c r="F58" s="3">
        <v>5</v>
      </c>
      <c r="G58" s="8">
        <v>82051</v>
      </c>
      <c r="H58" s="10">
        <v>0</v>
      </c>
      <c r="I58" s="8">
        <v>0</v>
      </c>
      <c r="J58" s="8">
        <v>410255</v>
      </c>
      <c r="K58" s="8">
        <v>275000</v>
      </c>
      <c r="L58" s="8">
        <v>135255</v>
      </c>
      <c r="M58" s="4">
        <v>45638</v>
      </c>
      <c r="N58" s="4">
        <v>45641</v>
      </c>
      <c r="O58" t="s">
        <v>305</v>
      </c>
      <c r="P58" t="s">
        <v>306</v>
      </c>
      <c r="Q58" s="2" t="s">
        <v>311</v>
      </c>
      <c r="R58" t="s">
        <v>315</v>
      </c>
      <c r="S58" t="s">
        <v>321</v>
      </c>
      <c r="T58" t="str">
        <f>TEXT(Table1[[#This Row],[Order_Date]],"ddd")</f>
        <v>Thu</v>
      </c>
      <c r="U58" t="str">
        <f>TEXT(Table1[[#This Row],[Order_Date]], "mmm")</f>
        <v>Dec</v>
      </c>
      <c r="V58">
        <f>YEAR(Table1[[#This Row],[Order_Date]])</f>
        <v>2024</v>
      </c>
    </row>
    <row r="59" spans="1:22" x14ac:dyDescent="0.35">
      <c r="A59">
        <v>10180</v>
      </c>
      <c r="B59" t="s">
        <v>73</v>
      </c>
      <c r="C59" t="s">
        <v>221</v>
      </c>
      <c r="D59" t="s">
        <v>291</v>
      </c>
      <c r="E59" t="s">
        <v>295</v>
      </c>
      <c r="F59" s="3">
        <v>5</v>
      </c>
      <c r="G59" s="8">
        <v>96657</v>
      </c>
      <c r="H59" s="10">
        <v>0</v>
      </c>
      <c r="I59" s="8">
        <v>0</v>
      </c>
      <c r="J59" s="8">
        <v>483285</v>
      </c>
      <c r="K59" s="8">
        <v>325000</v>
      </c>
      <c r="L59" s="8">
        <v>158285</v>
      </c>
      <c r="M59" s="4">
        <v>45641</v>
      </c>
      <c r="N59" s="4">
        <v>45646</v>
      </c>
      <c r="O59" t="s">
        <v>300</v>
      </c>
      <c r="P59" t="s">
        <v>306</v>
      </c>
      <c r="Q59" s="2" t="s">
        <v>310</v>
      </c>
      <c r="R59" t="s">
        <v>317</v>
      </c>
      <c r="S59" t="s">
        <v>321</v>
      </c>
      <c r="T59" t="str">
        <f>TEXT(Table1[[#This Row],[Order_Date]],"ddd")</f>
        <v>Sun</v>
      </c>
      <c r="U59" t="str">
        <f>TEXT(Table1[[#This Row],[Order_Date]], "mmm")</f>
        <v>Dec</v>
      </c>
      <c r="V59">
        <f>YEAR(Table1[[#This Row],[Order_Date]])</f>
        <v>2024</v>
      </c>
    </row>
    <row r="60" spans="1:22" x14ac:dyDescent="0.35">
      <c r="A60">
        <v>10034</v>
      </c>
      <c r="B60" t="s">
        <v>74</v>
      </c>
      <c r="C60" t="s">
        <v>215</v>
      </c>
      <c r="D60" t="s">
        <v>277</v>
      </c>
      <c r="E60" t="s">
        <v>295</v>
      </c>
      <c r="F60" s="3">
        <v>1</v>
      </c>
      <c r="G60" s="8">
        <v>307691</v>
      </c>
      <c r="H60" s="10">
        <v>0</v>
      </c>
      <c r="I60" s="8">
        <v>0</v>
      </c>
      <c r="J60" s="8">
        <v>307691</v>
      </c>
      <c r="K60" s="8">
        <v>240000</v>
      </c>
      <c r="L60" s="8">
        <v>67691</v>
      </c>
      <c r="M60" s="4">
        <v>45642</v>
      </c>
      <c r="N60" s="4">
        <v>45647</v>
      </c>
      <c r="O60" t="s">
        <v>303</v>
      </c>
      <c r="P60" t="s">
        <v>309</v>
      </c>
      <c r="Q60" s="2" t="s">
        <v>313</v>
      </c>
      <c r="R60" t="s">
        <v>316</v>
      </c>
      <c r="S60" t="s">
        <v>320</v>
      </c>
      <c r="T60" t="str">
        <f>TEXT(Table1[[#This Row],[Order_Date]],"ddd")</f>
        <v>Mon</v>
      </c>
      <c r="U60" t="str">
        <f>TEXT(Table1[[#This Row],[Order_Date]], "mmm")</f>
        <v>Dec</v>
      </c>
      <c r="V60">
        <f>YEAR(Table1[[#This Row],[Order_Date]])</f>
        <v>2024</v>
      </c>
    </row>
    <row r="61" spans="1:22" x14ac:dyDescent="0.35">
      <c r="A61">
        <v>10198</v>
      </c>
      <c r="B61" t="s">
        <v>75</v>
      </c>
      <c r="C61" t="s">
        <v>246</v>
      </c>
      <c r="D61" t="s">
        <v>280</v>
      </c>
      <c r="E61" t="s">
        <v>296</v>
      </c>
      <c r="F61" s="3">
        <v>5</v>
      </c>
      <c r="G61" s="8">
        <v>11447</v>
      </c>
      <c r="H61" s="10">
        <v>0</v>
      </c>
      <c r="I61" s="8">
        <v>0</v>
      </c>
      <c r="J61" s="8">
        <v>57235</v>
      </c>
      <c r="K61" s="8">
        <v>32500</v>
      </c>
      <c r="L61" s="8">
        <v>24735</v>
      </c>
      <c r="M61" s="4">
        <v>45645</v>
      </c>
      <c r="N61" s="4">
        <v>45650</v>
      </c>
      <c r="O61" t="s">
        <v>305</v>
      </c>
      <c r="P61" t="s">
        <v>309</v>
      </c>
      <c r="Q61" s="2" t="s">
        <v>314</v>
      </c>
      <c r="R61" t="s">
        <v>318</v>
      </c>
      <c r="S61" t="s">
        <v>322</v>
      </c>
      <c r="T61" t="str">
        <f>TEXT(Table1[[#This Row],[Order_Date]],"ddd")</f>
        <v>Thu</v>
      </c>
      <c r="U61" t="str">
        <f>TEXT(Table1[[#This Row],[Order_Date]], "mmm")</f>
        <v>Dec</v>
      </c>
      <c r="V61">
        <f>YEAR(Table1[[#This Row],[Order_Date]])</f>
        <v>2024</v>
      </c>
    </row>
    <row r="62" spans="1:22" x14ac:dyDescent="0.35">
      <c r="A62">
        <v>10002</v>
      </c>
      <c r="B62" t="s">
        <v>76</v>
      </c>
      <c r="C62" t="s">
        <v>236</v>
      </c>
      <c r="D62" t="s">
        <v>278</v>
      </c>
      <c r="E62" t="s">
        <v>296</v>
      </c>
      <c r="F62" s="3">
        <v>5</v>
      </c>
      <c r="G62" s="8">
        <v>35357</v>
      </c>
      <c r="H62" s="10">
        <v>10</v>
      </c>
      <c r="I62" s="8">
        <v>17678</v>
      </c>
      <c r="J62" s="8">
        <v>159107</v>
      </c>
      <c r="K62" s="8">
        <v>100000</v>
      </c>
      <c r="L62" s="8">
        <v>76785</v>
      </c>
      <c r="M62" s="4">
        <v>45647</v>
      </c>
      <c r="N62" s="4">
        <v>45652</v>
      </c>
      <c r="O62" t="s">
        <v>299</v>
      </c>
      <c r="P62" t="s">
        <v>306</v>
      </c>
      <c r="Q62" s="2" t="s">
        <v>310</v>
      </c>
      <c r="R62" t="s">
        <v>315</v>
      </c>
      <c r="S62" t="s">
        <v>321</v>
      </c>
      <c r="T62" t="str">
        <f>TEXT(Table1[[#This Row],[Order_Date]],"ddd")</f>
        <v>Sat</v>
      </c>
      <c r="U62" t="str">
        <f>TEXT(Table1[[#This Row],[Order_Date]], "mmm")</f>
        <v>Dec</v>
      </c>
      <c r="V62">
        <f>YEAR(Table1[[#This Row],[Order_Date]])</f>
        <v>2024</v>
      </c>
    </row>
    <row r="63" spans="1:22" x14ac:dyDescent="0.35">
      <c r="A63">
        <v>10157</v>
      </c>
      <c r="B63" t="s">
        <v>77</v>
      </c>
      <c r="C63" t="s">
        <v>222</v>
      </c>
      <c r="D63" t="s">
        <v>274</v>
      </c>
      <c r="E63" t="s">
        <v>294</v>
      </c>
      <c r="F63" s="3">
        <v>4</v>
      </c>
      <c r="G63" s="8">
        <v>143777</v>
      </c>
      <c r="H63" s="10">
        <v>5</v>
      </c>
      <c r="I63" s="8">
        <v>28755</v>
      </c>
      <c r="J63" s="8">
        <v>546353</v>
      </c>
      <c r="K63" s="8">
        <v>420000</v>
      </c>
      <c r="L63" s="8">
        <v>155108</v>
      </c>
      <c r="M63" s="4">
        <v>45649</v>
      </c>
      <c r="N63" s="4">
        <v>45652</v>
      </c>
      <c r="O63" t="s">
        <v>304</v>
      </c>
      <c r="P63" t="s">
        <v>306</v>
      </c>
      <c r="Q63" s="2" t="s">
        <v>311</v>
      </c>
      <c r="R63" t="s">
        <v>315</v>
      </c>
      <c r="S63" t="s">
        <v>320</v>
      </c>
      <c r="T63" t="str">
        <f>TEXT(Table1[[#This Row],[Order_Date]],"ddd")</f>
        <v>Mon</v>
      </c>
      <c r="U63" t="str">
        <f>TEXT(Table1[[#This Row],[Order_Date]], "mmm")</f>
        <v>Dec</v>
      </c>
      <c r="V63">
        <f>YEAR(Table1[[#This Row],[Order_Date]])</f>
        <v>2024</v>
      </c>
    </row>
    <row r="64" spans="1:22" x14ac:dyDescent="0.35">
      <c r="A64">
        <v>10024</v>
      </c>
      <c r="B64" t="s">
        <v>52</v>
      </c>
      <c r="C64" t="s">
        <v>236</v>
      </c>
      <c r="D64" t="s">
        <v>286</v>
      </c>
      <c r="E64" t="s">
        <v>296</v>
      </c>
      <c r="F64" s="3">
        <v>5</v>
      </c>
      <c r="G64" s="8">
        <v>18041</v>
      </c>
      <c r="H64" s="10">
        <v>0</v>
      </c>
      <c r="I64" s="8">
        <v>0</v>
      </c>
      <c r="J64" s="8">
        <v>90205</v>
      </c>
      <c r="K64" s="8">
        <v>50000</v>
      </c>
      <c r="L64" s="8">
        <v>40205</v>
      </c>
      <c r="M64" s="4">
        <v>45649</v>
      </c>
      <c r="N64" s="4">
        <v>45652</v>
      </c>
      <c r="O64" t="s">
        <v>302</v>
      </c>
      <c r="P64" t="s">
        <v>307</v>
      </c>
      <c r="Q64" s="2" t="s">
        <v>310</v>
      </c>
      <c r="R64" t="s">
        <v>319</v>
      </c>
      <c r="S64" t="s">
        <v>320</v>
      </c>
      <c r="T64" t="str">
        <f>TEXT(Table1[[#This Row],[Order_Date]],"ddd")</f>
        <v>Mon</v>
      </c>
      <c r="U64" t="str">
        <f>TEXT(Table1[[#This Row],[Order_Date]], "mmm")</f>
        <v>Dec</v>
      </c>
      <c r="V64">
        <f>YEAR(Table1[[#This Row],[Order_Date]])</f>
        <v>2024</v>
      </c>
    </row>
    <row r="65" spans="1:22" x14ac:dyDescent="0.35">
      <c r="A65">
        <v>10098</v>
      </c>
      <c r="B65" t="s">
        <v>78</v>
      </c>
      <c r="C65" t="s">
        <v>247</v>
      </c>
      <c r="D65" t="s">
        <v>286</v>
      </c>
      <c r="E65" t="s">
        <v>296</v>
      </c>
      <c r="F65" s="3">
        <v>2</v>
      </c>
      <c r="G65" s="8">
        <v>17223</v>
      </c>
      <c r="H65" s="10">
        <v>10</v>
      </c>
      <c r="I65" s="8">
        <v>3445</v>
      </c>
      <c r="J65" s="8">
        <v>31001</v>
      </c>
      <c r="K65" s="8">
        <v>20000</v>
      </c>
      <c r="L65" s="8">
        <v>14446</v>
      </c>
      <c r="M65" s="4">
        <v>45650</v>
      </c>
      <c r="N65" s="4">
        <v>45655</v>
      </c>
      <c r="O65" t="s">
        <v>302</v>
      </c>
      <c r="P65" t="s">
        <v>307</v>
      </c>
      <c r="Q65" s="2" t="s">
        <v>311</v>
      </c>
      <c r="R65" t="s">
        <v>315</v>
      </c>
      <c r="S65" t="s">
        <v>323</v>
      </c>
      <c r="T65" t="str">
        <f>TEXT(Table1[[#This Row],[Order_Date]],"ddd")</f>
        <v>Tue</v>
      </c>
      <c r="U65" t="str">
        <f>TEXT(Table1[[#This Row],[Order_Date]], "mmm")</f>
        <v>Dec</v>
      </c>
      <c r="V65">
        <f>YEAR(Table1[[#This Row],[Order_Date]])</f>
        <v>2024</v>
      </c>
    </row>
    <row r="66" spans="1:22" x14ac:dyDescent="0.35">
      <c r="A66">
        <v>10093</v>
      </c>
      <c r="B66" t="s">
        <v>79</v>
      </c>
      <c r="C66" t="s">
        <v>248</v>
      </c>
      <c r="D66" t="s">
        <v>280</v>
      </c>
      <c r="E66" t="s">
        <v>296</v>
      </c>
      <c r="F66" s="3">
        <v>5</v>
      </c>
      <c r="G66" s="8">
        <v>11794</v>
      </c>
      <c r="H66" s="10">
        <v>10</v>
      </c>
      <c r="I66" s="8">
        <v>5897</v>
      </c>
      <c r="J66" s="8">
        <v>53073</v>
      </c>
      <c r="K66" s="8">
        <v>32500</v>
      </c>
      <c r="L66" s="8">
        <v>26470</v>
      </c>
      <c r="M66" s="4">
        <v>45653</v>
      </c>
      <c r="N66" s="4">
        <v>45654</v>
      </c>
      <c r="O66" t="s">
        <v>305</v>
      </c>
      <c r="P66" t="s">
        <v>309</v>
      </c>
      <c r="Q66" s="2" t="s">
        <v>311</v>
      </c>
      <c r="R66" t="s">
        <v>317</v>
      </c>
      <c r="S66" t="s">
        <v>321</v>
      </c>
      <c r="T66" t="str">
        <f>TEXT(Table1[[#This Row],[Order_Date]],"ddd")</f>
        <v>Fri</v>
      </c>
      <c r="U66" t="str">
        <f>TEXT(Table1[[#This Row],[Order_Date]], "mmm")</f>
        <v>Dec</v>
      </c>
      <c r="V66">
        <f>YEAR(Table1[[#This Row],[Order_Date]])</f>
        <v>2024</v>
      </c>
    </row>
    <row r="67" spans="1:22" x14ac:dyDescent="0.35">
      <c r="A67">
        <v>10194</v>
      </c>
      <c r="B67" t="s">
        <v>80</v>
      </c>
      <c r="C67" t="s">
        <v>231</v>
      </c>
      <c r="D67" t="s">
        <v>278</v>
      </c>
      <c r="E67" t="s">
        <v>296</v>
      </c>
      <c r="F67" s="3">
        <v>3</v>
      </c>
      <c r="G67" s="8">
        <v>36317</v>
      </c>
      <c r="H67" s="10">
        <v>10</v>
      </c>
      <c r="I67" s="8">
        <v>10895</v>
      </c>
      <c r="J67" s="8">
        <v>98056</v>
      </c>
      <c r="K67" s="8">
        <v>60000</v>
      </c>
      <c r="L67" s="8">
        <v>48951</v>
      </c>
      <c r="M67" s="4">
        <v>45653</v>
      </c>
      <c r="N67" s="4">
        <v>45657</v>
      </c>
      <c r="O67" t="s">
        <v>303</v>
      </c>
      <c r="P67" t="s">
        <v>307</v>
      </c>
      <c r="Q67" s="2" t="s">
        <v>313</v>
      </c>
      <c r="R67" t="s">
        <v>319</v>
      </c>
      <c r="S67" t="s">
        <v>324</v>
      </c>
      <c r="T67" t="str">
        <f>TEXT(Table1[[#This Row],[Order_Date]],"ddd")</f>
        <v>Fri</v>
      </c>
      <c r="U67" t="str">
        <f>TEXT(Table1[[#This Row],[Order_Date]], "mmm")</f>
        <v>Dec</v>
      </c>
      <c r="V67">
        <f>YEAR(Table1[[#This Row],[Order_Date]])</f>
        <v>2024</v>
      </c>
    </row>
    <row r="68" spans="1:22" x14ac:dyDescent="0.35">
      <c r="A68">
        <v>10183</v>
      </c>
      <c r="B68" t="s">
        <v>81</v>
      </c>
      <c r="C68" t="s">
        <v>249</v>
      </c>
      <c r="D68" t="s">
        <v>279</v>
      </c>
      <c r="E68" t="s">
        <v>297</v>
      </c>
      <c r="F68" s="3">
        <v>3</v>
      </c>
      <c r="G68" s="8">
        <v>83874</v>
      </c>
      <c r="H68" s="10">
        <v>0</v>
      </c>
      <c r="I68" s="8">
        <v>0</v>
      </c>
      <c r="J68" s="8">
        <v>251622</v>
      </c>
      <c r="K68" s="8">
        <v>165000</v>
      </c>
      <c r="L68" s="8">
        <v>86622</v>
      </c>
      <c r="M68" s="4">
        <v>45653</v>
      </c>
      <c r="N68" s="4">
        <v>45655</v>
      </c>
      <c r="O68" t="s">
        <v>299</v>
      </c>
      <c r="P68" t="s">
        <v>306</v>
      </c>
      <c r="Q68" s="2" t="s">
        <v>310</v>
      </c>
      <c r="R68" t="s">
        <v>315</v>
      </c>
      <c r="S68" t="s">
        <v>324</v>
      </c>
      <c r="T68" t="str">
        <f>TEXT(Table1[[#This Row],[Order_Date]],"ddd")</f>
        <v>Fri</v>
      </c>
      <c r="U68" t="str">
        <f>TEXT(Table1[[#This Row],[Order_Date]], "mmm")</f>
        <v>Dec</v>
      </c>
      <c r="V68">
        <f>YEAR(Table1[[#This Row],[Order_Date]])</f>
        <v>2024</v>
      </c>
    </row>
    <row r="69" spans="1:22" x14ac:dyDescent="0.35">
      <c r="A69">
        <v>10117</v>
      </c>
      <c r="B69" t="s">
        <v>82</v>
      </c>
      <c r="C69" t="s">
        <v>215</v>
      </c>
      <c r="D69" t="s">
        <v>276</v>
      </c>
      <c r="E69" t="s">
        <v>294</v>
      </c>
      <c r="F69" s="3">
        <v>4</v>
      </c>
      <c r="G69" s="8">
        <v>746678</v>
      </c>
      <c r="H69" s="10">
        <v>0</v>
      </c>
      <c r="I69" s="8">
        <v>0</v>
      </c>
      <c r="J69" s="8">
        <v>2986712</v>
      </c>
      <c r="K69" s="8">
        <v>2200000</v>
      </c>
      <c r="L69" s="8">
        <v>786712</v>
      </c>
      <c r="M69" s="4">
        <v>45653</v>
      </c>
      <c r="N69" s="4">
        <v>45656</v>
      </c>
      <c r="O69" t="s">
        <v>300</v>
      </c>
      <c r="P69" t="s">
        <v>308</v>
      </c>
      <c r="Q69" s="2" t="s">
        <v>313</v>
      </c>
      <c r="R69" t="s">
        <v>315</v>
      </c>
      <c r="S69" t="s">
        <v>323</v>
      </c>
      <c r="T69" t="str">
        <f>TEXT(Table1[[#This Row],[Order_Date]],"ddd")</f>
        <v>Fri</v>
      </c>
      <c r="U69" t="str">
        <f>TEXT(Table1[[#This Row],[Order_Date]], "mmm")</f>
        <v>Dec</v>
      </c>
      <c r="V69">
        <f>YEAR(Table1[[#This Row],[Order_Date]])</f>
        <v>2024</v>
      </c>
    </row>
    <row r="70" spans="1:22" x14ac:dyDescent="0.35">
      <c r="A70">
        <v>10088</v>
      </c>
      <c r="B70" t="s">
        <v>83</v>
      </c>
      <c r="C70" t="s">
        <v>243</v>
      </c>
      <c r="D70" t="s">
        <v>280</v>
      </c>
      <c r="E70" t="s">
        <v>296</v>
      </c>
      <c r="F70" s="3">
        <v>4</v>
      </c>
      <c r="G70" s="8">
        <v>12399</v>
      </c>
      <c r="H70" s="10">
        <v>0</v>
      </c>
      <c r="I70" s="8">
        <v>0</v>
      </c>
      <c r="J70" s="8">
        <v>49596</v>
      </c>
      <c r="K70" s="8">
        <v>26000</v>
      </c>
      <c r="L70" s="8">
        <v>23596</v>
      </c>
      <c r="M70" s="4">
        <v>45655</v>
      </c>
      <c r="N70" s="4">
        <v>45660</v>
      </c>
      <c r="O70" t="s">
        <v>300</v>
      </c>
      <c r="P70" t="s">
        <v>307</v>
      </c>
      <c r="Q70" s="2" t="s">
        <v>314</v>
      </c>
      <c r="R70" t="s">
        <v>319</v>
      </c>
      <c r="S70" t="s">
        <v>323</v>
      </c>
      <c r="T70" t="str">
        <f>TEXT(Table1[[#This Row],[Order_Date]],"ddd")</f>
        <v>Sun</v>
      </c>
      <c r="U70" t="str">
        <f>TEXT(Table1[[#This Row],[Order_Date]], "mmm")</f>
        <v>Dec</v>
      </c>
      <c r="V70">
        <f>YEAR(Table1[[#This Row],[Order_Date]])</f>
        <v>2024</v>
      </c>
    </row>
    <row r="71" spans="1:22" x14ac:dyDescent="0.35">
      <c r="A71">
        <v>10129</v>
      </c>
      <c r="B71" t="s">
        <v>84</v>
      </c>
      <c r="C71" t="s">
        <v>218</v>
      </c>
      <c r="D71" t="s">
        <v>281</v>
      </c>
      <c r="E71" t="s">
        <v>298</v>
      </c>
      <c r="F71" s="3">
        <v>5</v>
      </c>
      <c r="G71" s="8">
        <v>17613</v>
      </c>
      <c r="H71" s="10">
        <v>5</v>
      </c>
      <c r="I71" s="8">
        <v>4403</v>
      </c>
      <c r="J71" s="8">
        <v>83662</v>
      </c>
      <c r="K71" s="8">
        <v>50000</v>
      </c>
      <c r="L71" s="8">
        <v>38065</v>
      </c>
      <c r="M71" s="4">
        <v>45656</v>
      </c>
      <c r="N71" s="4">
        <v>45661</v>
      </c>
      <c r="O71" t="s">
        <v>302</v>
      </c>
      <c r="P71" t="s">
        <v>307</v>
      </c>
      <c r="Q71" s="2" t="s">
        <v>310</v>
      </c>
      <c r="R71" t="s">
        <v>319</v>
      </c>
      <c r="S71" t="s">
        <v>320</v>
      </c>
      <c r="T71" t="str">
        <f>TEXT(Table1[[#This Row],[Order_Date]],"ddd")</f>
        <v>Mon</v>
      </c>
      <c r="U71" t="str">
        <f>TEXT(Table1[[#This Row],[Order_Date]], "mmm")</f>
        <v>Dec</v>
      </c>
      <c r="V71">
        <f>YEAR(Table1[[#This Row],[Order_Date]])</f>
        <v>2024</v>
      </c>
    </row>
    <row r="72" spans="1:22" x14ac:dyDescent="0.35">
      <c r="A72">
        <v>10118</v>
      </c>
      <c r="B72" t="s">
        <v>85</v>
      </c>
      <c r="C72" t="s">
        <v>224</v>
      </c>
      <c r="D72" t="s">
        <v>282</v>
      </c>
      <c r="E72" t="s">
        <v>297</v>
      </c>
      <c r="F72" s="3">
        <v>3</v>
      </c>
      <c r="G72" s="8">
        <v>286367</v>
      </c>
      <c r="H72" s="10">
        <v>0</v>
      </c>
      <c r="I72" s="8">
        <v>0</v>
      </c>
      <c r="J72" s="8">
        <v>859101</v>
      </c>
      <c r="K72" s="8">
        <v>570000</v>
      </c>
      <c r="L72" s="8">
        <v>289101</v>
      </c>
      <c r="M72" s="4">
        <v>45657</v>
      </c>
      <c r="N72" s="4">
        <v>45658</v>
      </c>
      <c r="O72" t="s">
        <v>302</v>
      </c>
      <c r="P72" t="s">
        <v>307</v>
      </c>
      <c r="Q72" s="2" t="s">
        <v>314</v>
      </c>
      <c r="R72" t="s">
        <v>319</v>
      </c>
      <c r="S72" t="s">
        <v>323</v>
      </c>
      <c r="T72" t="str">
        <f>TEXT(Table1[[#This Row],[Order_Date]],"ddd")</f>
        <v>Tue</v>
      </c>
      <c r="U72" t="str">
        <f>TEXT(Table1[[#This Row],[Order_Date]], "mmm")</f>
        <v>Dec</v>
      </c>
      <c r="V72">
        <f>YEAR(Table1[[#This Row],[Order_Date]])</f>
        <v>2024</v>
      </c>
    </row>
    <row r="73" spans="1:22" x14ac:dyDescent="0.35">
      <c r="A73">
        <v>10158</v>
      </c>
      <c r="B73" t="s">
        <v>86</v>
      </c>
      <c r="C73" t="s">
        <v>215</v>
      </c>
      <c r="D73" t="s">
        <v>282</v>
      </c>
      <c r="E73" t="s">
        <v>297</v>
      </c>
      <c r="F73" s="3">
        <v>5</v>
      </c>
      <c r="G73" s="8">
        <v>281726</v>
      </c>
      <c r="H73" s="10">
        <v>0</v>
      </c>
      <c r="I73" s="8">
        <v>0</v>
      </c>
      <c r="J73" s="8">
        <v>1408630</v>
      </c>
      <c r="K73" s="8">
        <v>950000</v>
      </c>
      <c r="L73" s="8">
        <v>458630</v>
      </c>
      <c r="M73" s="4">
        <v>45658</v>
      </c>
      <c r="N73" s="4">
        <v>45662</v>
      </c>
      <c r="O73" t="s">
        <v>301</v>
      </c>
      <c r="P73" t="s">
        <v>307</v>
      </c>
      <c r="Q73" s="2" t="s">
        <v>310</v>
      </c>
      <c r="R73" t="s">
        <v>319</v>
      </c>
      <c r="S73" t="s">
        <v>322</v>
      </c>
      <c r="T73" t="str">
        <f>TEXT(Table1[[#This Row],[Order_Date]],"ddd")</f>
        <v>Wed</v>
      </c>
      <c r="U73" t="str">
        <f>TEXT(Table1[[#This Row],[Order_Date]], "mmm")</f>
        <v>Jan</v>
      </c>
      <c r="V73">
        <f>YEAR(Table1[[#This Row],[Order_Date]])</f>
        <v>2025</v>
      </c>
    </row>
    <row r="74" spans="1:22" x14ac:dyDescent="0.35">
      <c r="A74">
        <v>10075</v>
      </c>
      <c r="B74" t="s">
        <v>87</v>
      </c>
      <c r="C74" t="s">
        <v>225</v>
      </c>
      <c r="D74" t="s">
        <v>281</v>
      </c>
      <c r="E74" t="s">
        <v>298</v>
      </c>
      <c r="F74" s="3">
        <v>4</v>
      </c>
      <c r="G74" s="8">
        <v>17319</v>
      </c>
      <c r="H74" s="10">
        <v>10</v>
      </c>
      <c r="I74" s="8">
        <v>6928</v>
      </c>
      <c r="J74" s="8">
        <v>62348</v>
      </c>
      <c r="K74" s="8">
        <v>40000</v>
      </c>
      <c r="L74" s="8">
        <v>29276</v>
      </c>
      <c r="M74" s="4">
        <v>45658</v>
      </c>
      <c r="N74" s="4">
        <v>45660</v>
      </c>
      <c r="O74" t="s">
        <v>303</v>
      </c>
      <c r="P74" t="s">
        <v>309</v>
      </c>
      <c r="Q74" s="2" t="s">
        <v>313</v>
      </c>
      <c r="R74" t="s">
        <v>318</v>
      </c>
      <c r="S74" t="s">
        <v>321</v>
      </c>
      <c r="T74" t="str">
        <f>TEXT(Table1[[#This Row],[Order_Date]],"ddd")</f>
        <v>Wed</v>
      </c>
      <c r="U74" t="str">
        <f>TEXT(Table1[[#This Row],[Order_Date]], "mmm")</f>
        <v>Jan</v>
      </c>
      <c r="V74">
        <f>YEAR(Table1[[#This Row],[Order_Date]])</f>
        <v>2025</v>
      </c>
    </row>
    <row r="75" spans="1:22" x14ac:dyDescent="0.35">
      <c r="A75">
        <v>10084</v>
      </c>
      <c r="B75" t="s">
        <v>88</v>
      </c>
      <c r="C75" t="s">
        <v>228</v>
      </c>
      <c r="D75" t="s">
        <v>291</v>
      </c>
      <c r="E75" t="s">
        <v>295</v>
      </c>
      <c r="F75" s="3">
        <v>3</v>
      </c>
      <c r="G75" s="8">
        <v>93811</v>
      </c>
      <c r="H75" s="10">
        <v>0</v>
      </c>
      <c r="I75" s="8">
        <v>0</v>
      </c>
      <c r="J75" s="8">
        <v>281433</v>
      </c>
      <c r="K75" s="8">
        <v>195000</v>
      </c>
      <c r="L75" s="8">
        <v>86433</v>
      </c>
      <c r="M75" s="4">
        <v>45659</v>
      </c>
      <c r="N75" s="4">
        <v>45664</v>
      </c>
      <c r="O75" t="s">
        <v>299</v>
      </c>
      <c r="P75" t="s">
        <v>307</v>
      </c>
      <c r="Q75" s="2" t="s">
        <v>314</v>
      </c>
      <c r="R75" t="s">
        <v>318</v>
      </c>
      <c r="S75" t="s">
        <v>322</v>
      </c>
      <c r="T75" t="str">
        <f>TEXT(Table1[[#This Row],[Order_Date]],"ddd")</f>
        <v>Thu</v>
      </c>
      <c r="U75" t="str">
        <f>TEXT(Table1[[#This Row],[Order_Date]], "mmm")</f>
        <v>Jan</v>
      </c>
      <c r="V75">
        <f>YEAR(Table1[[#This Row],[Order_Date]])</f>
        <v>2025</v>
      </c>
    </row>
    <row r="76" spans="1:22" x14ac:dyDescent="0.35">
      <c r="A76">
        <v>10006</v>
      </c>
      <c r="B76" t="s">
        <v>89</v>
      </c>
      <c r="C76" t="s">
        <v>237</v>
      </c>
      <c r="D76" t="s">
        <v>276</v>
      </c>
      <c r="E76" t="s">
        <v>294</v>
      </c>
      <c r="F76" s="3">
        <v>5</v>
      </c>
      <c r="G76" s="8">
        <v>729718</v>
      </c>
      <c r="H76" s="10">
        <v>10</v>
      </c>
      <c r="I76" s="8">
        <v>364859</v>
      </c>
      <c r="J76" s="8">
        <v>3283731</v>
      </c>
      <c r="K76" s="8">
        <v>2750000</v>
      </c>
      <c r="L76" s="8">
        <v>898590</v>
      </c>
      <c r="M76" s="4">
        <v>45659</v>
      </c>
      <c r="N76" s="4">
        <v>45661</v>
      </c>
      <c r="O76" t="s">
        <v>299</v>
      </c>
      <c r="P76" t="s">
        <v>307</v>
      </c>
      <c r="Q76" s="2" t="s">
        <v>311</v>
      </c>
      <c r="R76" t="s">
        <v>317</v>
      </c>
      <c r="S76" t="s">
        <v>320</v>
      </c>
      <c r="T76" t="str">
        <f>TEXT(Table1[[#This Row],[Order_Date]],"ddd")</f>
        <v>Thu</v>
      </c>
      <c r="U76" t="str">
        <f>TEXT(Table1[[#This Row],[Order_Date]], "mmm")</f>
        <v>Jan</v>
      </c>
      <c r="V76">
        <f>YEAR(Table1[[#This Row],[Order_Date]])</f>
        <v>2025</v>
      </c>
    </row>
    <row r="77" spans="1:22" x14ac:dyDescent="0.35">
      <c r="A77">
        <v>10123</v>
      </c>
      <c r="B77" t="s">
        <v>90</v>
      </c>
      <c r="C77" t="s">
        <v>245</v>
      </c>
      <c r="D77" t="s">
        <v>276</v>
      </c>
      <c r="E77" t="s">
        <v>294</v>
      </c>
      <c r="F77" s="3">
        <v>5</v>
      </c>
      <c r="G77" s="8">
        <v>730521</v>
      </c>
      <c r="H77" s="10">
        <v>0</v>
      </c>
      <c r="I77" s="8">
        <v>0</v>
      </c>
      <c r="J77" s="8">
        <v>3652605</v>
      </c>
      <c r="K77" s="8">
        <v>2750000</v>
      </c>
      <c r="L77" s="8">
        <v>902605</v>
      </c>
      <c r="M77" s="4">
        <v>45660</v>
      </c>
      <c r="N77" s="4">
        <v>45664</v>
      </c>
      <c r="O77" t="s">
        <v>299</v>
      </c>
      <c r="P77" t="s">
        <v>307</v>
      </c>
      <c r="Q77" s="2" t="s">
        <v>312</v>
      </c>
      <c r="R77" t="s">
        <v>318</v>
      </c>
      <c r="S77" t="s">
        <v>320</v>
      </c>
      <c r="T77" t="str">
        <f>TEXT(Table1[[#This Row],[Order_Date]],"ddd")</f>
        <v>Fri</v>
      </c>
      <c r="U77" t="str">
        <f>TEXT(Table1[[#This Row],[Order_Date]], "mmm")</f>
        <v>Jan</v>
      </c>
      <c r="V77">
        <f>YEAR(Table1[[#This Row],[Order_Date]])</f>
        <v>2025</v>
      </c>
    </row>
    <row r="78" spans="1:22" x14ac:dyDescent="0.35">
      <c r="A78">
        <v>10184</v>
      </c>
      <c r="B78" t="s">
        <v>91</v>
      </c>
      <c r="C78" t="s">
        <v>222</v>
      </c>
      <c r="D78" t="s">
        <v>283</v>
      </c>
      <c r="E78" t="s">
        <v>298</v>
      </c>
      <c r="F78" s="3">
        <v>5</v>
      </c>
      <c r="G78" s="8">
        <v>22664</v>
      </c>
      <c r="H78" s="10">
        <v>0</v>
      </c>
      <c r="I78" s="8">
        <v>0</v>
      </c>
      <c r="J78" s="8">
        <v>113320</v>
      </c>
      <c r="K78" s="8">
        <v>65000</v>
      </c>
      <c r="L78" s="8">
        <v>48320</v>
      </c>
      <c r="M78" s="4">
        <v>45660</v>
      </c>
      <c r="N78" s="4">
        <v>45665</v>
      </c>
      <c r="O78" t="s">
        <v>300</v>
      </c>
      <c r="P78" t="s">
        <v>309</v>
      </c>
      <c r="Q78" s="2" t="s">
        <v>312</v>
      </c>
      <c r="R78" t="s">
        <v>316</v>
      </c>
      <c r="S78" t="s">
        <v>323</v>
      </c>
      <c r="T78" t="str">
        <f>TEXT(Table1[[#This Row],[Order_Date]],"ddd")</f>
        <v>Fri</v>
      </c>
      <c r="U78" t="str">
        <f>TEXT(Table1[[#This Row],[Order_Date]], "mmm")</f>
        <v>Jan</v>
      </c>
      <c r="V78">
        <f>YEAR(Table1[[#This Row],[Order_Date]])</f>
        <v>2025</v>
      </c>
    </row>
    <row r="79" spans="1:22" x14ac:dyDescent="0.35">
      <c r="A79">
        <v>10191</v>
      </c>
      <c r="B79" t="s">
        <v>92</v>
      </c>
      <c r="C79" t="s">
        <v>230</v>
      </c>
      <c r="D79" t="s">
        <v>287</v>
      </c>
      <c r="E79" t="s">
        <v>298</v>
      </c>
      <c r="F79" s="3">
        <v>5</v>
      </c>
      <c r="G79" s="8">
        <v>24698</v>
      </c>
      <c r="H79" s="10">
        <v>0</v>
      </c>
      <c r="I79" s="8">
        <v>0</v>
      </c>
      <c r="J79" s="8">
        <v>123490</v>
      </c>
      <c r="K79" s="8">
        <v>75000</v>
      </c>
      <c r="L79" s="8">
        <v>48490</v>
      </c>
      <c r="M79" s="4">
        <v>45660</v>
      </c>
      <c r="N79" s="4">
        <v>45664</v>
      </c>
      <c r="O79" t="s">
        <v>303</v>
      </c>
      <c r="P79" t="s">
        <v>307</v>
      </c>
      <c r="Q79" s="2" t="s">
        <v>311</v>
      </c>
      <c r="R79" t="s">
        <v>315</v>
      </c>
      <c r="S79" t="s">
        <v>321</v>
      </c>
      <c r="T79" t="str">
        <f>TEXT(Table1[[#This Row],[Order_Date]],"ddd")</f>
        <v>Fri</v>
      </c>
      <c r="U79" t="str">
        <f>TEXT(Table1[[#This Row],[Order_Date]], "mmm")</f>
        <v>Jan</v>
      </c>
      <c r="V79">
        <f>YEAR(Table1[[#This Row],[Order_Date]])</f>
        <v>2025</v>
      </c>
    </row>
    <row r="80" spans="1:22" x14ac:dyDescent="0.35">
      <c r="A80">
        <v>10159</v>
      </c>
      <c r="B80" t="s">
        <v>93</v>
      </c>
      <c r="C80" t="s">
        <v>250</v>
      </c>
      <c r="D80" t="s">
        <v>291</v>
      </c>
      <c r="E80" t="s">
        <v>295</v>
      </c>
      <c r="F80" s="3">
        <v>4</v>
      </c>
      <c r="G80" s="8">
        <v>98460</v>
      </c>
      <c r="H80" s="10">
        <v>5</v>
      </c>
      <c r="I80" s="8">
        <v>19692</v>
      </c>
      <c r="J80" s="8">
        <v>374148</v>
      </c>
      <c r="K80" s="8">
        <v>260000</v>
      </c>
      <c r="L80" s="8">
        <v>133840</v>
      </c>
      <c r="M80" s="4">
        <v>45660</v>
      </c>
      <c r="N80" s="4">
        <v>45662</v>
      </c>
      <c r="O80" t="s">
        <v>300</v>
      </c>
      <c r="P80" t="s">
        <v>306</v>
      </c>
      <c r="Q80" s="2" t="s">
        <v>312</v>
      </c>
      <c r="R80" t="s">
        <v>319</v>
      </c>
      <c r="S80" t="s">
        <v>322</v>
      </c>
      <c r="T80" t="str">
        <f>TEXT(Table1[[#This Row],[Order_Date]],"ddd")</f>
        <v>Fri</v>
      </c>
      <c r="U80" t="str">
        <f>TEXT(Table1[[#This Row],[Order_Date]], "mmm")</f>
        <v>Jan</v>
      </c>
      <c r="V80">
        <f>YEAR(Table1[[#This Row],[Order_Date]])</f>
        <v>2025</v>
      </c>
    </row>
    <row r="81" spans="1:22" x14ac:dyDescent="0.35">
      <c r="A81">
        <v>10068</v>
      </c>
      <c r="B81" t="s">
        <v>94</v>
      </c>
      <c r="C81" t="s">
        <v>251</v>
      </c>
      <c r="D81" t="s">
        <v>287</v>
      </c>
      <c r="E81" t="s">
        <v>298</v>
      </c>
      <c r="F81" s="3">
        <v>1</v>
      </c>
      <c r="G81" s="8">
        <v>25111</v>
      </c>
      <c r="H81" s="10">
        <v>0</v>
      </c>
      <c r="I81" s="8">
        <v>0</v>
      </c>
      <c r="J81" s="8">
        <v>25111</v>
      </c>
      <c r="K81" s="8">
        <v>15000</v>
      </c>
      <c r="L81" s="8">
        <v>10111</v>
      </c>
      <c r="M81" s="4">
        <v>45665</v>
      </c>
      <c r="N81" s="4">
        <v>45667</v>
      </c>
      <c r="O81" t="s">
        <v>301</v>
      </c>
      <c r="P81" t="s">
        <v>306</v>
      </c>
      <c r="Q81" s="2" t="s">
        <v>314</v>
      </c>
      <c r="R81" t="s">
        <v>316</v>
      </c>
      <c r="S81" t="s">
        <v>323</v>
      </c>
      <c r="T81" t="str">
        <f>TEXT(Table1[[#This Row],[Order_Date]],"ddd")</f>
        <v>Wed</v>
      </c>
      <c r="U81" t="str">
        <f>TEXT(Table1[[#This Row],[Order_Date]], "mmm")</f>
        <v>Jan</v>
      </c>
      <c r="V81">
        <f>YEAR(Table1[[#This Row],[Order_Date]])</f>
        <v>2025</v>
      </c>
    </row>
    <row r="82" spans="1:22" x14ac:dyDescent="0.35">
      <c r="A82">
        <v>10007</v>
      </c>
      <c r="B82" t="s">
        <v>95</v>
      </c>
      <c r="C82" t="s">
        <v>252</v>
      </c>
      <c r="D82" t="s">
        <v>278</v>
      </c>
      <c r="E82" t="s">
        <v>296</v>
      </c>
      <c r="F82" s="3">
        <v>1</v>
      </c>
      <c r="G82" s="8">
        <v>36068</v>
      </c>
      <c r="H82" s="10">
        <v>5</v>
      </c>
      <c r="I82" s="8">
        <v>1803</v>
      </c>
      <c r="J82" s="8">
        <v>34265</v>
      </c>
      <c r="K82" s="8">
        <v>20000</v>
      </c>
      <c r="L82" s="8">
        <v>16068</v>
      </c>
      <c r="M82" s="4">
        <v>45665</v>
      </c>
      <c r="N82" s="4">
        <v>45666</v>
      </c>
      <c r="O82" t="s">
        <v>302</v>
      </c>
      <c r="P82" t="s">
        <v>307</v>
      </c>
      <c r="Q82" s="2" t="s">
        <v>311</v>
      </c>
      <c r="R82" t="s">
        <v>318</v>
      </c>
      <c r="S82" t="s">
        <v>324</v>
      </c>
      <c r="T82" t="str">
        <f>TEXT(Table1[[#This Row],[Order_Date]],"ddd")</f>
        <v>Wed</v>
      </c>
      <c r="U82" t="str">
        <f>TEXT(Table1[[#This Row],[Order_Date]], "mmm")</f>
        <v>Jan</v>
      </c>
      <c r="V82">
        <f>YEAR(Table1[[#This Row],[Order_Date]])</f>
        <v>2025</v>
      </c>
    </row>
    <row r="83" spans="1:22" x14ac:dyDescent="0.35">
      <c r="A83">
        <v>10120</v>
      </c>
      <c r="B83" t="s">
        <v>96</v>
      </c>
      <c r="C83" t="s">
        <v>217</v>
      </c>
      <c r="D83" t="s">
        <v>276</v>
      </c>
      <c r="E83" t="s">
        <v>294</v>
      </c>
      <c r="F83" s="3">
        <v>4</v>
      </c>
      <c r="G83" s="8">
        <v>715839</v>
      </c>
      <c r="H83" s="10">
        <v>0</v>
      </c>
      <c r="I83" s="8">
        <v>0</v>
      </c>
      <c r="J83" s="8">
        <v>2863356</v>
      </c>
      <c r="K83" s="8">
        <v>2200000</v>
      </c>
      <c r="L83" s="8">
        <v>663356</v>
      </c>
      <c r="M83" s="4">
        <v>45667</v>
      </c>
      <c r="N83" s="4">
        <v>45672</v>
      </c>
      <c r="O83" t="s">
        <v>301</v>
      </c>
      <c r="P83" t="s">
        <v>308</v>
      </c>
      <c r="Q83" s="2" t="s">
        <v>312</v>
      </c>
      <c r="R83" t="s">
        <v>319</v>
      </c>
      <c r="S83" t="s">
        <v>320</v>
      </c>
      <c r="T83" t="str">
        <f>TEXT(Table1[[#This Row],[Order_Date]],"ddd")</f>
        <v>Fri</v>
      </c>
      <c r="U83" t="str">
        <f>TEXT(Table1[[#This Row],[Order_Date]], "mmm")</f>
        <v>Jan</v>
      </c>
      <c r="V83">
        <f>YEAR(Table1[[#This Row],[Order_Date]])</f>
        <v>2025</v>
      </c>
    </row>
    <row r="84" spans="1:22" x14ac:dyDescent="0.35">
      <c r="A84">
        <v>10071</v>
      </c>
      <c r="B84" t="s">
        <v>97</v>
      </c>
      <c r="C84" t="s">
        <v>226</v>
      </c>
      <c r="D84" t="s">
        <v>274</v>
      </c>
      <c r="E84" t="s">
        <v>294</v>
      </c>
      <c r="F84" s="3">
        <v>4</v>
      </c>
      <c r="G84" s="8">
        <v>145275</v>
      </c>
      <c r="H84" s="10">
        <v>5</v>
      </c>
      <c r="I84" s="8">
        <v>29055</v>
      </c>
      <c r="J84" s="8">
        <v>552045</v>
      </c>
      <c r="K84" s="8">
        <v>420000</v>
      </c>
      <c r="L84" s="8">
        <v>161100</v>
      </c>
      <c r="M84" s="4">
        <v>45668</v>
      </c>
      <c r="N84" s="4">
        <v>45670</v>
      </c>
      <c r="O84" t="s">
        <v>304</v>
      </c>
      <c r="P84" t="s">
        <v>308</v>
      </c>
      <c r="Q84" s="2" t="s">
        <v>310</v>
      </c>
      <c r="R84" t="s">
        <v>317</v>
      </c>
      <c r="S84" t="s">
        <v>324</v>
      </c>
      <c r="T84" t="str">
        <f>TEXT(Table1[[#This Row],[Order_Date]],"ddd")</f>
        <v>Sat</v>
      </c>
      <c r="U84" t="str">
        <f>TEXT(Table1[[#This Row],[Order_Date]], "mmm")</f>
        <v>Jan</v>
      </c>
      <c r="V84">
        <f>YEAR(Table1[[#This Row],[Order_Date]])</f>
        <v>2025</v>
      </c>
    </row>
    <row r="85" spans="1:22" x14ac:dyDescent="0.35">
      <c r="A85">
        <v>10171</v>
      </c>
      <c r="B85" t="s">
        <v>98</v>
      </c>
      <c r="C85" t="s">
        <v>253</v>
      </c>
      <c r="D85" t="s">
        <v>280</v>
      </c>
      <c r="E85" t="s">
        <v>296</v>
      </c>
      <c r="F85" s="3">
        <v>4</v>
      </c>
      <c r="G85" s="8">
        <v>11631</v>
      </c>
      <c r="H85" s="10">
        <v>0</v>
      </c>
      <c r="I85" s="8">
        <v>0</v>
      </c>
      <c r="J85" s="8">
        <v>46524</v>
      </c>
      <c r="K85" s="8">
        <v>26000</v>
      </c>
      <c r="L85" s="8">
        <v>20524</v>
      </c>
      <c r="M85" s="4">
        <v>45668</v>
      </c>
      <c r="N85" s="4">
        <v>45673</v>
      </c>
      <c r="O85" t="s">
        <v>303</v>
      </c>
      <c r="P85" t="s">
        <v>306</v>
      </c>
      <c r="Q85" s="2" t="s">
        <v>311</v>
      </c>
      <c r="R85" t="s">
        <v>315</v>
      </c>
      <c r="S85" t="s">
        <v>322</v>
      </c>
      <c r="T85" t="str">
        <f>TEXT(Table1[[#This Row],[Order_Date]],"ddd")</f>
        <v>Sat</v>
      </c>
      <c r="U85" t="str">
        <f>TEXT(Table1[[#This Row],[Order_Date]], "mmm")</f>
        <v>Jan</v>
      </c>
      <c r="V85">
        <f>YEAR(Table1[[#This Row],[Order_Date]])</f>
        <v>2025</v>
      </c>
    </row>
    <row r="86" spans="1:22" x14ac:dyDescent="0.35">
      <c r="A86">
        <v>10049</v>
      </c>
      <c r="B86" t="s">
        <v>99</v>
      </c>
      <c r="C86" t="s">
        <v>254</v>
      </c>
      <c r="D86" t="s">
        <v>289</v>
      </c>
      <c r="E86" t="s">
        <v>296</v>
      </c>
      <c r="F86" s="3">
        <v>4</v>
      </c>
      <c r="G86" s="8">
        <v>14740</v>
      </c>
      <c r="H86" s="10">
        <v>5</v>
      </c>
      <c r="I86" s="8">
        <v>2948</v>
      </c>
      <c r="J86" s="8">
        <v>56012</v>
      </c>
      <c r="K86" s="8">
        <v>32000</v>
      </c>
      <c r="L86" s="8">
        <v>26960</v>
      </c>
      <c r="M86" s="4">
        <v>45668</v>
      </c>
      <c r="N86" s="4">
        <v>45672</v>
      </c>
      <c r="O86" t="s">
        <v>303</v>
      </c>
      <c r="P86" t="s">
        <v>308</v>
      </c>
      <c r="Q86" s="2" t="s">
        <v>310</v>
      </c>
      <c r="R86" t="s">
        <v>316</v>
      </c>
      <c r="S86" t="s">
        <v>323</v>
      </c>
      <c r="T86" t="str">
        <f>TEXT(Table1[[#This Row],[Order_Date]],"ddd")</f>
        <v>Sat</v>
      </c>
      <c r="U86" t="str">
        <f>TEXT(Table1[[#This Row],[Order_Date]], "mmm")</f>
        <v>Jan</v>
      </c>
      <c r="V86">
        <f>YEAR(Table1[[#This Row],[Order_Date]])</f>
        <v>2025</v>
      </c>
    </row>
    <row r="87" spans="1:22" x14ac:dyDescent="0.35">
      <c r="A87">
        <v>10178</v>
      </c>
      <c r="B87" t="s">
        <v>100</v>
      </c>
      <c r="C87" t="s">
        <v>243</v>
      </c>
      <c r="D87" t="s">
        <v>286</v>
      </c>
      <c r="E87" t="s">
        <v>296</v>
      </c>
      <c r="F87" s="3">
        <v>5</v>
      </c>
      <c r="G87" s="8">
        <v>17293</v>
      </c>
      <c r="H87" s="10">
        <v>0</v>
      </c>
      <c r="I87" s="8">
        <v>0</v>
      </c>
      <c r="J87" s="8">
        <v>86465</v>
      </c>
      <c r="K87" s="8">
        <v>50000</v>
      </c>
      <c r="L87" s="8">
        <v>36465</v>
      </c>
      <c r="M87" s="4">
        <v>45669</v>
      </c>
      <c r="N87" s="4">
        <v>45673</v>
      </c>
      <c r="O87" t="s">
        <v>305</v>
      </c>
      <c r="P87" t="s">
        <v>309</v>
      </c>
      <c r="Q87" s="2" t="s">
        <v>312</v>
      </c>
      <c r="R87" t="s">
        <v>318</v>
      </c>
      <c r="S87" t="s">
        <v>322</v>
      </c>
      <c r="T87" t="str">
        <f>TEXT(Table1[[#This Row],[Order_Date]],"ddd")</f>
        <v>Sun</v>
      </c>
      <c r="U87" t="str">
        <f>TEXT(Table1[[#This Row],[Order_Date]], "mmm")</f>
        <v>Jan</v>
      </c>
      <c r="V87">
        <f>YEAR(Table1[[#This Row],[Order_Date]])</f>
        <v>2025</v>
      </c>
    </row>
    <row r="88" spans="1:22" x14ac:dyDescent="0.35">
      <c r="A88">
        <v>10172</v>
      </c>
      <c r="B88" t="s">
        <v>101</v>
      </c>
      <c r="C88" t="s">
        <v>222</v>
      </c>
      <c r="D88" t="s">
        <v>277</v>
      </c>
      <c r="E88" t="s">
        <v>295</v>
      </c>
      <c r="F88" s="3">
        <v>4</v>
      </c>
      <c r="G88" s="8">
        <v>315162</v>
      </c>
      <c r="H88" s="10">
        <v>0</v>
      </c>
      <c r="I88" s="8">
        <v>0</v>
      </c>
      <c r="J88" s="8">
        <v>1260648</v>
      </c>
      <c r="K88" s="8">
        <v>960000</v>
      </c>
      <c r="L88" s="8">
        <v>300648</v>
      </c>
      <c r="M88" s="4">
        <v>45670</v>
      </c>
      <c r="N88" s="4">
        <v>45671</v>
      </c>
      <c r="O88" t="s">
        <v>304</v>
      </c>
      <c r="P88" t="s">
        <v>309</v>
      </c>
      <c r="Q88" s="2" t="s">
        <v>310</v>
      </c>
      <c r="R88" t="s">
        <v>318</v>
      </c>
      <c r="S88" t="s">
        <v>320</v>
      </c>
      <c r="T88" t="str">
        <f>TEXT(Table1[[#This Row],[Order_Date]],"ddd")</f>
        <v>Mon</v>
      </c>
      <c r="U88" t="str">
        <f>TEXT(Table1[[#This Row],[Order_Date]], "mmm")</f>
        <v>Jan</v>
      </c>
      <c r="V88">
        <f>YEAR(Table1[[#This Row],[Order_Date]])</f>
        <v>2025</v>
      </c>
    </row>
    <row r="89" spans="1:22" x14ac:dyDescent="0.35">
      <c r="A89">
        <v>10067</v>
      </c>
      <c r="B89" t="s">
        <v>102</v>
      </c>
      <c r="C89" t="s">
        <v>255</v>
      </c>
      <c r="D89" t="s">
        <v>280</v>
      </c>
      <c r="E89" t="s">
        <v>296</v>
      </c>
      <c r="F89" s="3">
        <v>4</v>
      </c>
      <c r="G89" s="8">
        <v>11750</v>
      </c>
      <c r="H89" s="10">
        <v>0</v>
      </c>
      <c r="I89" s="8">
        <v>0</v>
      </c>
      <c r="J89" s="8">
        <v>47000</v>
      </c>
      <c r="K89" s="8">
        <v>26000</v>
      </c>
      <c r="L89" s="8">
        <v>21000</v>
      </c>
      <c r="M89" s="4">
        <v>45670</v>
      </c>
      <c r="N89" s="4">
        <v>45673</v>
      </c>
      <c r="O89" t="s">
        <v>305</v>
      </c>
      <c r="P89" t="s">
        <v>307</v>
      </c>
      <c r="Q89" s="2" t="s">
        <v>313</v>
      </c>
      <c r="R89" t="s">
        <v>317</v>
      </c>
      <c r="S89" t="s">
        <v>320</v>
      </c>
      <c r="T89" t="str">
        <f>TEXT(Table1[[#This Row],[Order_Date]],"ddd")</f>
        <v>Mon</v>
      </c>
      <c r="U89" t="str">
        <f>TEXT(Table1[[#This Row],[Order_Date]], "mmm")</f>
        <v>Jan</v>
      </c>
      <c r="V89">
        <f>YEAR(Table1[[#This Row],[Order_Date]])</f>
        <v>2025</v>
      </c>
    </row>
    <row r="90" spans="1:22" x14ac:dyDescent="0.35">
      <c r="A90">
        <v>10136</v>
      </c>
      <c r="B90" t="s">
        <v>103</v>
      </c>
      <c r="C90" t="s">
        <v>234</v>
      </c>
      <c r="D90" t="s">
        <v>290</v>
      </c>
      <c r="E90" t="s">
        <v>295</v>
      </c>
      <c r="F90" s="3">
        <v>5</v>
      </c>
      <c r="G90" s="8">
        <v>34097</v>
      </c>
      <c r="H90" s="10">
        <v>0</v>
      </c>
      <c r="I90" s="8">
        <v>0</v>
      </c>
      <c r="J90" s="8">
        <v>170485</v>
      </c>
      <c r="K90" s="8">
        <v>110000</v>
      </c>
      <c r="L90" s="8">
        <v>60485</v>
      </c>
      <c r="M90" s="4">
        <v>45671</v>
      </c>
      <c r="N90" s="4">
        <v>45675</v>
      </c>
      <c r="O90" t="s">
        <v>301</v>
      </c>
      <c r="P90" t="s">
        <v>307</v>
      </c>
      <c r="Q90" s="2" t="s">
        <v>311</v>
      </c>
      <c r="R90" t="s">
        <v>318</v>
      </c>
      <c r="S90" t="s">
        <v>323</v>
      </c>
      <c r="T90" t="str">
        <f>TEXT(Table1[[#This Row],[Order_Date]],"ddd")</f>
        <v>Tue</v>
      </c>
      <c r="U90" t="str">
        <f>TEXT(Table1[[#This Row],[Order_Date]], "mmm")</f>
        <v>Jan</v>
      </c>
      <c r="V90">
        <f>YEAR(Table1[[#This Row],[Order_Date]])</f>
        <v>2025</v>
      </c>
    </row>
    <row r="91" spans="1:22" x14ac:dyDescent="0.35">
      <c r="A91">
        <v>10103</v>
      </c>
      <c r="B91" t="s">
        <v>104</v>
      </c>
      <c r="C91" t="s">
        <v>246</v>
      </c>
      <c r="D91" t="s">
        <v>277</v>
      </c>
      <c r="E91" t="s">
        <v>295</v>
      </c>
      <c r="F91" s="3">
        <v>4</v>
      </c>
      <c r="G91" s="8">
        <v>335828</v>
      </c>
      <c r="H91" s="10">
        <v>10</v>
      </c>
      <c r="I91" s="8">
        <v>134331</v>
      </c>
      <c r="J91" s="8">
        <v>1208981</v>
      </c>
      <c r="K91" s="8">
        <v>960000</v>
      </c>
      <c r="L91" s="8">
        <v>383312</v>
      </c>
      <c r="M91" s="4">
        <v>45672</v>
      </c>
      <c r="N91" s="4">
        <v>45676</v>
      </c>
      <c r="O91" t="s">
        <v>304</v>
      </c>
      <c r="P91" t="s">
        <v>308</v>
      </c>
      <c r="Q91" s="2" t="s">
        <v>310</v>
      </c>
      <c r="R91" t="s">
        <v>318</v>
      </c>
      <c r="S91" t="s">
        <v>321</v>
      </c>
      <c r="T91" t="str">
        <f>TEXT(Table1[[#This Row],[Order_Date]],"ddd")</f>
        <v>Wed</v>
      </c>
      <c r="U91" t="str">
        <f>TEXT(Table1[[#This Row],[Order_Date]], "mmm")</f>
        <v>Jan</v>
      </c>
      <c r="V91">
        <f>YEAR(Table1[[#This Row],[Order_Date]])</f>
        <v>2025</v>
      </c>
    </row>
    <row r="92" spans="1:22" x14ac:dyDescent="0.35">
      <c r="A92">
        <v>10196</v>
      </c>
      <c r="B92" t="s">
        <v>105</v>
      </c>
      <c r="C92" t="s">
        <v>254</v>
      </c>
      <c r="D92" t="s">
        <v>293</v>
      </c>
      <c r="E92" t="s">
        <v>295</v>
      </c>
      <c r="F92" s="3">
        <v>4</v>
      </c>
      <c r="G92" s="8">
        <v>11689</v>
      </c>
      <c r="H92" s="10">
        <v>0</v>
      </c>
      <c r="I92" s="8">
        <v>0</v>
      </c>
      <c r="J92" s="8">
        <v>46756</v>
      </c>
      <c r="K92" s="8">
        <v>28000</v>
      </c>
      <c r="L92" s="8">
        <v>18756</v>
      </c>
      <c r="M92" s="4">
        <v>45673</v>
      </c>
      <c r="N92" s="4">
        <v>45675</v>
      </c>
      <c r="O92" t="s">
        <v>300</v>
      </c>
      <c r="P92" t="s">
        <v>309</v>
      </c>
      <c r="Q92" s="2" t="s">
        <v>313</v>
      </c>
      <c r="R92" t="s">
        <v>317</v>
      </c>
      <c r="S92" t="s">
        <v>324</v>
      </c>
      <c r="T92" t="str">
        <f>TEXT(Table1[[#This Row],[Order_Date]],"ddd")</f>
        <v>Thu</v>
      </c>
      <c r="U92" t="str">
        <f>TEXT(Table1[[#This Row],[Order_Date]], "mmm")</f>
        <v>Jan</v>
      </c>
      <c r="V92">
        <f>YEAR(Table1[[#This Row],[Order_Date]])</f>
        <v>2025</v>
      </c>
    </row>
    <row r="93" spans="1:22" x14ac:dyDescent="0.35">
      <c r="A93">
        <v>10046</v>
      </c>
      <c r="B93" t="s">
        <v>106</v>
      </c>
      <c r="C93" t="s">
        <v>222</v>
      </c>
      <c r="D93" t="s">
        <v>286</v>
      </c>
      <c r="E93" t="s">
        <v>296</v>
      </c>
      <c r="F93" s="3">
        <v>4</v>
      </c>
      <c r="G93" s="8">
        <v>17959</v>
      </c>
      <c r="H93" s="10">
        <v>0</v>
      </c>
      <c r="I93" s="8">
        <v>0</v>
      </c>
      <c r="J93" s="8">
        <v>71836</v>
      </c>
      <c r="K93" s="8">
        <v>40000</v>
      </c>
      <c r="L93" s="8">
        <v>31836</v>
      </c>
      <c r="M93" s="4">
        <v>45673</v>
      </c>
      <c r="N93" s="4">
        <v>45677</v>
      </c>
      <c r="O93" t="s">
        <v>300</v>
      </c>
      <c r="P93" t="s">
        <v>307</v>
      </c>
      <c r="Q93" s="2" t="s">
        <v>312</v>
      </c>
      <c r="R93" t="s">
        <v>317</v>
      </c>
      <c r="S93" t="s">
        <v>324</v>
      </c>
      <c r="T93" t="str">
        <f>TEXT(Table1[[#This Row],[Order_Date]],"ddd")</f>
        <v>Thu</v>
      </c>
      <c r="U93" t="str">
        <f>TEXT(Table1[[#This Row],[Order_Date]], "mmm")</f>
        <v>Jan</v>
      </c>
      <c r="V93">
        <f>YEAR(Table1[[#This Row],[Order_Date]])</f>
        <v>2025</v>
      </c>
    </row>
    <row r="94" spans="1:22" x14ac:dyDescent="0.35">
      <c r="A94">
        <v>10065</v>
      </c>
      <c r="B94" t="s">
        <v>107</v>
      </c>
      <c r="C94" t="s">
        <v>231</v>
      </c>
      <c r="D94" t="s">
        <v>290</v>
      </c>
      <c r="E94" t="s">
        <v>295</v>
      </c>
      <c r="F94" s="3">
        <v>4</v>
      </c>
      <c r="G94" s="8">
        <v>34827</v>
      </c>
      <c r="H94" s="10">
        <v>5</v>
      </c>
      <c r="I94" s="8">
        <v>6965</v>
      </c>
      <c r="J94" s="8">
        <v>132343</v>
      </c>
      <c r="K94" s="8">
        <v>88000</v>
      </c>
      <c r="L94" s="8">
        <v>51308</v>
      </c>
      <c r="M94" s="4">
        <v>45673</v>
      </c>
      <c r="N94" s="4">
        <v>45678</v>
      </c>
      <c r="O94" t="s">
        <v>299</v>
      </c>
      <c r="P94" t="s">
        <v>308</v>
      </c>
      <c r="Q94" s="2" t="s">
        <v>312</v>
      </c>
      <c r="R94" t="s">
        <v>319</v>
      </c>
      <c r="S94" t="s">
        <v>323</v>
      </c>
      <c r="T94" t="str">
        <f>TEXT(Table1[[#This Row],[Order_Date]],"ddd")</f>
        <v>Thu</v>
      </c>
      <c r="U94" t="str">
        <f>TEXT(Table1[[#This Row],[Order_Date]], "mmm")</f>
        <v>Jan</v>
      </c>
      <c r="V94">
        <f>YEAR(Table1[[#This Row],[Order_Date]])</f>
        <v>2025</v>
      </c>
    </row>
    <row r="95" spans="1:22" x14ac:dyDescent="0.35">
      <c r="A95">
        <v>10064</v>
      </c>
      <c r="B95" t="s">
        <v>108</v>
      </c>
      <c r="C95" t="s">
        <v>256</v>
      </c>
      <c r="D95" t="s">
        <v>286</v>
      </c>
      <c r="E95" t="s">
        <v>296</v>
      </c>
      <c r="F95" s="3">
        <v>1</v>
      </c>
      <c r="G95" s="8">
        <v>17373</v>
      </c>
      <c r="H95" s="10">
        <v>10</v>
      </c>
      <c r="I95" s="8">
        <v>1737</v>
      </c>
      <c r="J95" s="8">
        <v>15636</v>
      </c>
      <c r="K95" s="8">
        <v>10000</v>
      </c>
      <c r="L95" s="8">
        <v>7373</v>
      </c>
      <c r="M95" s="4">
        <v>45674</v>
      </c>
      <c r="N95" s="4">
        <v>45675</v>
      </c>
      <c r="O95" t="s">
        <v>302</v>
      </c>
      <c r="P95" t="s">
        <v>309</v>
      </c>
      <c r="Q95" s="2" t="s">
        <v>312</v>
      </c>
      <c r="R95" t="s">
        <v>316</v>
      </c>
      <c r="S95" t="s">
        <v>323</v>
      </c>
      <c r="T95" t="str">
        <f>TEXT(Table1[[#This Row],[Order_Date]],"ddd")</f>
        <v>Fri</v>
      </c>
      <c r="U95" t="str">
        <f>TEXT(Table1[[#This Row],[Order_Date]], "mmm")</f>
        <v>Jan</v>
      </c>
      <c r="V95">
        <f>YEAR(Table1[[#This Row],[Order_Date]])</f>
        <v>2025</v>
      </c>
    </row>
    <row r="96" spans="1:22" x14ac:dyDescent="0.35">
      <c r="A96">
        <v>10200</v>
      </c>
      <c r="B96" t="s">
        <v>109</v>
      </c>
      <c r="C96" t="s">
        <v>238</v>
      </c>
      <c r="D96" t="s">
        <v>291</v>
      </c>
      <c r="E96" t="s">
        <v>295</v>
      </c>
      <c r="F96" s="3">
        <v>4</v>
      </c>
      <c r="G96" s="8">
        <v>94679</v>
      </c>
      <c r="H96" s="10">
        <v>0</v>
      </c>
      <c r="I96" s="8">
        <v>0</v>
      </c>
      <c r="J96" s="8">
        <v>378716</v>
      </c>
      <c r="K96" s="8">
        <v>260000</v>
      </c>
      <c r="L96" s="8">
        <v>118716</v>
      </c>
      <c r="M96" s="4">
        <v>45675</v>
      </c>
      <c r="N96" s="4">
        <v>45678</v>
      </c>
      <c r="O96" t="s">
        <v>303</v>
      </c>
      <c r="P96" t="s">
        <v>309</v>
      </c>
      <c r="Q96" s="2" t="s">
        <v>310</v>
      </c>
      <c r="R96" t="s">
        <v>318</v>
      </c>
      <c r="S96" t="s">
        <v>321</v>
      </c>
      <c r="T96" t="str">
        <f>TEXT(Table1[[#This Row],[Order_Date]],"ddd")</f>
        <v>Sat</v>
      </c>
      <c r="U96" t="str">
        <f>TEXT(Table1[[#This Row],[Order_Date]], "mmm")</f>
        <v>Jan</v>
      </c>
      <c r="V96">
        <f>YEAR(Table1[[#This Row],[Order_Date]])</f>
        <v>2025</v>
      </c>
    </row>
    <row r="97" spans="1:22" x14ac:dyDescent="0.35">
      <c r="A97">
        <v>10176</v>
      </c>
      <c r="B97" t="s">
        <v>110</v>
      </c>
      <c r="C97" t="s">
        <v>257</v>
      </c>
      <c r="D97" t="s">
        <v>283</v>
      </c>
      <c r="E97" t="s">
        <v>298</v>
      </c>
      <c r="F97" s="3">
        <v>2</v>
      </c>
      <c r="G97" s="8">
        <v>22563</v>
      </c>
      <c r="H97" s="10">
        <v>0</v>
      </c>
      <c r="I97" s="8">
        <v>0</v>
      </c>
      <c r="J97" s="8">
        <v>45126</v>
      </c>
      <c r="K97" s="8">
        <v>26000</v>
      </c>
      <c r="L97" s="8">
        <v>19126</v>
      </c>
      <c r="M97" s="4">
        <v>45679</v>
      </c>
      <c r="N97" s="4">
        <v>45682</v>
      </c>
      <c r="O97" t="s">
        <v>305</v>
      </c>
      <c r="P97" t="s">
        <v>307</v>
      </c>
      <c r="Q97" s="2" t="s">
        <v>313</v>
      </c>
      <c r="R97" t="s">
        <v>316</v>
      </c>
      <c r="S97" t="s">
        <v>323</v>
      </c>
      <c r="T97" t="str">
        <f>TEXT(Table1[[#This Row],[Order_Date]],"ddd")</f>
        <v>Wed</v>
      </c>
      <c r="U97" t="str">
        <f>TEXT(Table1[[#This Row],[Order_Date]], "mmm")</f>
        <v>Jan</v>
      </c>
      <c r="V97">
        <f>YEAR(Table1[[#This Row],[Order_Date]])</f>
        <v>2025</v>
      </c>
    </row>
    <row r="98" spans="1:22" x14ac:dyDescent="0.35">
      <c r="A98">
        <v>10012</v>
      </c>
      <c r="B98" t="s">
        <v>111</v>
      </c>
      <c r="C98" t="s">
        <v>218</v>
      </c>
      <c r="D98" t="s">
        <v>293</v>
      </c>
      <c r="E98" t="s">
        <v>295</v>
      </c>
      <c r="F98" s="3">
        <v>5</v>
      </c>
      <c r="G98" s="8">
        <v>12502</v>
      </c>
      <c r="H98" s="10">
        <v>10</v>
      </c>
      <c r="I98" s="8">
        <v>6251</v>
      </c>
      <c r="J98" s="8">
        <v>56259</v>
      </c>
      <c r="K98" s="8">
        <v>35000</v>
      </c>
      <c r="L98" s="8">
        <v>27510</v>
      </c>
      <c r="M98" s="4">
        <v>45679</v>
      </c>
      <c r="N98" s="4">
        <v>45683</v>
      </c>
      <c r="O98" t="s">
        <v>301</v>
      </c>
      <c r="P98" t="s">
        <v>306</v>
      </c>
      <c r="Q98" s="2" t="s">
        <v>311</v>
      </c>
      <c r="R98" t="s">
        <v>316</v>
      </c>
      <c r="S98" t="s">
        <v>322</v>
      </c>
      <c r="T98" t="str">
        <f>TEXT(Table1[[#This Row],[Order_Date]],"ddd")</f>
        <v>Wed</v>
      </c>
      <c r="U98" t="str">
        <f>TEXT(Table1[[#This Row],[Order_Date]], "mmm")</f>
        <v>Jan</v>
      </c>
      <c r="V98">
        <f>YEAR(Table1[[#This Row],[Order_Date]])</f>
        <v>2025</v>
      </c>
    </row>
    <row r="99" spans="1:22" x14ac:dyDescent="0.35">
      <c r="A99">
        <v>10072</v>
      </c>
      <c r="B99" t="s">
        <v>112</v>
      </c>
      <c r="C99" t="s">
        <v>253</v>
      </c>
      <c r="D99" t="s">
        <v>277</v>
      </c>
      <c r="E99" t="s">
        <v>295</v>
      </c>
      <c r="F99" s="3">
        <v>3</v>
      </c>
      <c r="G99" s="8">
        <v>325444</v>
      </c>
      <c r="H99" s="10">
        <v>0</v>
      </c>
      <c r="I99" s="8">
        <v>0</v>
      </c>
      <c r="J99" s="8">
        <v>976332</v>
      </c>
      <c r="K99" s="8">
        <v>720000</v>
      </c>
      <c r="L99" s="8">
        <v>256332</v>
      </c>
      <c r="M99" s="4">
        <v>45681</v>
      </c>
      <c r="N99" s="4">
        <v>45685</v>
      </c>
      <c r="O99" t="s">
        <v>305</v>
      </c>
      <c r="P99" t="s">
        <v>309</v>
      </c>
      <c r="Q99" s="2" t="s">
        <v>311</v>
      </c>
      <c r="R99" t="s">
        <v>317</v>
      </c>
      <c r="S99" t="s">
        <v>323</v>
      </c>
      <c r="T99" t="str">
        <f>TEXT(Table1[[#This Row],[Order_Date]],"ddd")</f>
        <v>Fri</v>
      </c>
      <c r="U99" t="str">
        <f>TEXT(Table1[[#This Row],[Order_Date]], "mmm")</f>
        <v>Jan</v>
      </c>
      <c r="V99">
        <f>YEAR(Table1[[#This Row],[Order_Date]])</f>
        <v>2025</v>
      </c>
    </row>
    <row r="100" spans="1:22" x14ac:dyDescent="0.35">
      <c r="A100">
        <v>10175</v>
      </c>
      <c r="B100" t="s">
        <v>113</v>
      </c>
      <c r="C100" t="s">
        <v>233</v>
      </c>
      <c r="D100" t="s">
        <v>278</v>
      </c>
      <c r="E100" t="s">
        <v>296</v>
      </c>
      <c r="F100" s="3">
        <v>2</v>
      </c>
      <c r="G100" s="8">
        <v>33434</v>
      </c>
      <c r="H100" s="10">
        <v>5</v>
      </c>
      <c r="I100" s="8">
        <v>3343</v>
      </c>
      <c r="J100" s="8">
        <v>63525</v>
      </c>
      <c r="K100" s="8">
        <v>40000</v>
      </c>
      <c r="L100" s="8">
        <v>26868</v>
      </c>
      <c r="M100" s="4">
        <v>45681</v>
      </c>
      <c r="N100" s="4">
        <v>45685</v>
      </c>
      <c r="O100" t="s">
        <v>301</v>
      </c>
      <c r="P100" t="s">
        <v>307</v>
      </c>
      <c r="Q100" s="2" t="s">
        <v>313</v>
      </c>
      <c r="R100" t="s">
        <v>315</v>
      </c>
      <c r="S100" t="s">
        <v>324</v>
      </c>
      <c r="T100" t="str">
        <f>TEXT(Table1[[#This Row],[Order_Date]],"ddd")</f>
        <v>Fri</v>
      </c>
      <c r="U100" t="str">
        <f>TEXT(Table1[[#This Row],[Order_Date]], "mmm")</f>
        <v>Jan</v>
      </c>
      <c r="V100">
        <f>YEAR(Table1[[#This Row],[Order_Date]])</f>
        <v>2025</v>
      </c>
    </row>
    <row r="101" spans="1:22" x14ac:dyDescent="0.35">
      <c r="A101">
        <v>10179</v>
      </c>
      <c r="B101" t="s">
        <v>114</v>
      </c>
      <c r="C101" t="s">
        <v>229</v>
      </c>
      <c r="D101" t="s">
        <v>281</v>
      </c>
      <c r="E101" t="s">
        <v>298</v>
      </c>
      <c r="F101" s="3">
        <v>3</v>
      </c>
      <c r="G101" s="8">
        <v>17447</v>
      </c>
      <c r="H101" s="10">
        <v>0</v>
      </c>
      <c r="I101" s="8">
        <v>0</v>
      </c>
      <c r="J101" s="8">
        <v>52341</v>
      </c>
      <c r="K101" s="8">
        <v>30000</v>
      </c>
      <c r="L101" s="8">
        <v>22341</v>
      </c>
      <c r="M101" s="4">
        <v>45681</v>
      </c>
      <c r="N101" s="4">
        <v>45683</v>
      </c>
      <c r="O101" t="s">
        <v>305</v>
      </c>
      <c r="P101" t="s">
        <v>307</v>
      </c>
      <c r="Q101" s="2" t="s">
        <v>311</v>
      </c>
      <c r="R101" t="s">
        <v>317</v>
      </c>
      <c r="S101" t="s">
        <v>321</v>
      </c>
      <c r="T101" t="str">
        <f>TEXT(Table1[[#This Row],[Order_Date]],"ddd")</f>
        <v>Fri</v>
      </c>
      <c r="U101" t="str">
        <f>TEXT(Table1[[#This Row],[Order_Date]], "mmm")</f>
        <v>Jan</v>
      </c>
      <c r="V101">
        <f>YEAR(Table1[[#This Row],[Order_Date]])</f>
        <v>2025</v>
      </c>
    </row>
    <row r="102" spans="1:22" x14ac:dyDescent="0.35">
      <c r="A102">
        <v>10197</v>
      </c>
      <c r="B102" t="s">
        <v>115</v>
      </c>
      <c r="C102" t="s">
        <v>238</v>
      </c>
      <c r="D102" t="s">
        <v>288</v>
      </c>
      <c r="E102" t="s">
        <v>297</v>
      </c>
      <c r="F102" s="3">
        <v>4</v>
      </c>
      <c r="G102" s="8">
        <v>116914</v>
      </c>
      <c r="H102" s="10">
        <v>0</v>
      </c>
      <c r="I102" s="8">
        <v>0</v>
      </c>
      <c r="J102" s="8">
        <v>467656</v>
      </c>
      <c r="K102" s="8">
        <v>320000</v>
      </c>
      <c r="L102" s="8">
        <v>147656</v>
      </c>
      <c r="M102" s="4">
        <v>45681</v>
      </c>
      <c r="N102" s="4">
        <v>45682</v>
      </c>
      <c r="O102" t="s">
        <v>299</v>
      </c>
      <c r="P102" t="s">
        <v>307</v>
      </c>
      <c r="Q102" s="2" t="s">
        <v>313</v>
      </c>
      <c r="R102" t="s">
        <v>319</v>
      </c>
      <c r="S102" t="s">
        <v>321</v>
      </c>
      <c r="T102" t="str">
        <f>TEXT(Table1[[#This Row],[Order_Date]],"ddd")</f>
        <v>Fri</v>
      </c>
      <c r="U102" t="str">
        <f>TEXT(Table1[[#This Row],[Order_Date]], "mmm")</f>
        <v>Jan</v>
      </c>
      <c r="V102">
        <f>YEAR(Table1[[#This Row],[Order_Date]])</f>
        <v>2025</v>
      </c>
    </row>
    <row r="103" spans="1:22" x14ac:dyDescent="0.35">
      <c r="A103">
        <v>10039</v>
      </c>
      <c r="B103" t="s">
        <v>116</v>
      </c>
      <c r="C103" t="s">
        <v>248</v>
      </c>
      <c r="D103" t="s">
        <v>276</v>
      </c>
      <c r="E103" t="s">
        <v>294</v>
      </c>
      <c r="F103" s="3">
        <v>3</v>
      </c>
      <c r="G103" s="8">
        <v>721113</v>
      </c>
      <c r="H103" s="10">
        <v>10</v>
      </c>
      <c r="I103" s="8">
        <v>216334</v>
      </c>
      <c r="J103" s="8">
        <v>1947005</v>
      </c>
      <c r="K103" s="8">
        <v>1650000</v>
      </c>
      <c r="L103" s="8">
        <v>513339</v>
      </c>
      <c r="M103" s="4">
        <v>45682</v>
      </c>
      <c r="N103" s="4">
        <v>45683</v>
      </c>
      <c r="O103" t="s">
        <v>300</v>
      </c>
      <c r="P103" t="s">
        <v>307</v>
      </c>
      <c r="Q103" s="2" t="s">
        <v>311</v>
      </c>
      <c r="R103" t="s">
        <v>315</v>
      </c>
      <c r="S103" t="s">
        <v>322</v>
      </c>
      <c r="T103" t="str">
        <f>TEXT(Table1[[#This Row],[Order_Date]],"ddd")</f>
        <v>Sat</v>
      </c>
      <c r="U103" t="str">
        <f>TEXT(Table1[[#This Row],[Order_Date]], "mmm")</f>
        <v>Jan</v>
      </c>
      <c r="V103">
        <f>YEAR(Table1[[#This Row],[Order_Date]])</f>
        <v>2025</v>
      </c>
    </row>
    <row r="104" spans="1:22" x14ac:dyDescent="0.35">
      <c r="A104">
        <v>10015</v>
      </c>
      <c r="B104" t="s">
        <v>117</v>
      </c>
      <c r="C104" t="s">
        <v>258</v>
      </c>
      <c r="D104" t="s">
        <v>281</v>
      </c>
      <c r="E104" t="s">
        <v>298</v>
      </c>
      <c r="F104" s="3">
        <v>1</v>
      </c>
      <c r="G104" s="8">
        <v>17546</v>
      </c>
      <c r="H104" s="10">
        <v>0</v>
      </c>
      <c r="I104" s="8">
        <v>0</v>
      </c>
      <c r="J104" s="8">
        <v>17546</v>
      </c>
      <c r="K104" s="8">
        <v>10000</v>
      </c>
      <c r="L104" s="8">
        <v>7546</v>
      </c>
      <c r="M104" s="4">
        <v>45683</v>
      </c>
      <c r="N104" s="4">
        <v>45684</v>
      </c>
      <c r="O104" t="s">
        <v>304</v>
      </c>
      <c r="P104" t="s">
        <v>307</v>
      </c>
      <c r="Q104" s="2" t="s">
        <v>314</v>
      </c>
      <c r="R104" t="s">
        <v>318</v>
      </c>
      <c r="S104" t="s">
        <v>321</v>
      </c>
      <c r="T104" t="str">
        <f>TEXT(Table1[[#This Row],[Order_Date]],"ddd")</f>
        <v>Sun</v>
      </c>
      <c r="U104" t="str">
        <f>TEXT(Table1[[#This Row],[Order_Date]], "mmm")</f>
        <v>Jan</v>
      </c>
      <c r="V104">
        <f>YEAR(Table1[[#This Row],[Order_Date]])</f>
        <v>2025</v>
      </c>
    </row>
    <row r="105" spans="1:22" x14ac:dyDescent="0.35">
      <c r="A105">
        <v>10003</v>
      </c>
      <c r="B105" t="s">
        <v>118</v>
      </c>
      <c r="C105" t="s">
        <v>259</v>
      </c>
      <c r="D105" t="s">
        <v>287</v>
      </c>
      <c r="E105" t="s">
        <v>298</v>
      </c>
      <c r="F105" s="3">
        <v>3</v>
      </c>
      <c r="G105" s="8">
        <v>24445</v>
      </c>
      <c r="H105" s="10">
        <v>0</v>
      </c>
      <c r="I105" s="8">
        <v>0</v>
      </c>
      <c r="J105" s="8">
        <v>73335</v>
      </c>
      <c r="K105" s="8">
        <v>45000</v>
      </c>
      <c r="L105" s="8">
        <v>28335</v>
      </c>
      <c r="M105" s="4">
        <v>45683</v>
      </c>
      <c r="N105" s="4">
        <v>45684</v>
      </c>
      <c r="O105" t="s">
        <v>301</v>
      </c>
      <c r="P105" t="s">
        <v>306</v>
      </c>
      <c r="Q105" s="2" t="s">
        <v>313</v>
      </c>
      <c r="R105" t="s">
        <v>317</v>
      </c>
      <c r="S105" t="s">
        <v>320</v>
      </c>
      <c r="T105" t="str">
        <f>TEXT(Table1[[#This Row],[Order_Date]],"ddd")</f>
        <v>Sun</v>
      </c>
      <c r="U105" t="str">
        <f>TEXT(Table1[[#This Row],[Order_Date]], "mmm")</f>
        <v>Jan</v>
      </c>
      <c r="V105">
        <f>YEAR(Table1[[#This Row],[Order_Date]])</f>
        <v>2025</v>
      </c>
    </row>
    <row r="106" spans="1:22" x14ac:dyDescent="0.35">
      <c r="A106">
        <v>10104</v>
      </c>
      <c r="B106" t="s">
        <v>119</v>
      </c>
      <c r="C106" t="s">
        <v>229</v>
      </c>
      <c r="D106" t="s">
        <v>287</v>
      </c>
      <c r="E106" t="s">
        <v>298</v>
      </c>
      <c r="F106" s="3">
        <v>4</v>
      </c>
      <c r="G106" s="8">
        <v>25970</v>
      </c>
      <c r="H106" s="10">
        <v>5</v>
      </c>
      <c r="I106" s="8">
        <v>5194</v>
      </c>
      <c r="J106" s="8">
        <v>98686</v>
      </c>
      <c r="K106" s="8">
        <v>60000</v>
      </c>
      <c r="L106" s="8">
        <v>43880</v>
      </c>
      <c r="M106" s="4">
        <v>45683</v>
      </c>
      <c r="N106" s="4">
        <v>45687</v>
      </c>
      <c r="O106" t="s">
        <v>299</v>
      </c>
      <c r="P106" t="s">
        <v>306</v>
      </c>
      <c r="Q106" s="2" t="s">
        <v>313</v>
      </c>
      <c r="R106" t="s">
        <v>317</v>
      </c>
      <c r="S106" t="s">
        <v>324</v>
      </c>
      <c r="T106" t="str">
        <f>TEXT(Table1[[#This Row],[Order_Date]],"ddd")</f>
        <v>Sun</v>
      </c>
      <c r="U106" t="str">
        <f>TEXT(Table1[[#This Row],[Order_Date]], "mmm")</f>
        <v>Jan</v>
      </c>
      <c r="V106">
        <f>YEAR(Table1[[#This Row],[Order_Date]])</f>
        <v>2025</v>
      </c>
    </row>
    <row r="107" spans="1:22" x14ac:dyDescent="0.35">
      <c r="A107">
        <v>10057</v>
      </c>
      <c r="B107" t="s">
        <v>120</v>
      </c>
      <c r="C107" t="s">
        <v>229</v>
      </c>
      <c r="D107" t="s">
        <v>274</v>
      </c>
      <c r="E107" t="s">
        <v>294</v>
      </c>
      <c r="F107" s="3">
        <v>4</v>
      </c>
      <c r="G107" s="8">
        <v>140826</v>
      </c>
      <c r="H107" s="10">
        <v>0</v>
      </c>
      <c r="I107" s="8">
        <v>0</v>
      </c>
      <c r="J107" s="8">
        <v>563304</v>
      </c>
      <c r="K107" s="8">
        <v>420000</v>
      </c>
      <c r="L107" s="8">
        <v>143304</v>
      </c>
      <c r="M107" s="4">
        <v>45684</v>
      </c>
      <c r="N107" s="4">
        <v>45687</v>
      </c>
      <c r="O107" t="s">
        <v>304</v>
      </c>
      <c r="P107" t="s">
        <v>308</v>
      </c>
      <c r="Q107" s="2" t="s">
        <v>312</v>
      </c>
      <c r="R107" t="s">
        <v>319</v>
      </c>
      <c r="S107" t="s">
        <v>323</v>
      </c>
      <c r="T107" t="str">
        <f>TEXT(Table1[[#This Row],[Order_Date]],"ddd")</f>
        <v>Mon</v>
      </c>
      <c r="U107" t="str">
        <f>TEXT(Table1[[#This Row],[Order_Date]], "mmm")</f>
        <v>Jan</v>
      </c>
      <c r="V107">
        <f>YEAR(Table1[[#This Row],[Order_Date]])</f>
        <v>2025</v>
      </c>
    </row>
    <row r="108" spans="1:22" x14ac:dyDescent="0.35">
      <c r="A108">
        <v>10173</v>
      </c>
      <c r="B108" t="s">
        <v>121</v>
      </c>
      <c r="C108" t="s">
        <v>260</v>
      </c>
      <c r="D108" t="s">
        <v>291</v>
      </c>
      <c r="E108" t="s">
        <v>295</v>
      </c>
      <c r="F108" s="3">
        <v>1</v>
      </c>
      <c r="G108" s="8">
        <v>92982</v>
      </c>
      <c r="H108" s="10">
        <v>0</v>
      </c>
      <c r="I108" s="8">
        <v>0</v>
      </c>
      <c r="J108" s="8">
        <v>92982</v>
      </c>
      <c r="K108" s="8">
        <v>65000</v>
      </c>
      <c r="L108" s="8">
        <v>27982</v>
      </c>
      <c r="M108" s="4">
        <v>45685</v>
      </c>
      <c r="N108" s="4">
        <v>45689</v>
      </c>
      <c r="O108" t="s">
        <v>305</v>
      </c>
      <c r="P108" t="s">
        <v>307</v>
      </c>
      <c r="Q108" s="2" t="s">
        <v>310</v>
      </c>
      <c r="R108" t="s">
        <v>319</v>
      </c>
      <c r="S108" t="s">
        <v>322</v>
      </c>
      <c r="T108" t="str">
        <f>TEXT(Table1[[#This Row],[Order_Date]],"ddd")</f>
        <v>Tue</v>
      </c>
      <c r="U108" t="str">
        <f>TEXT(Table1[[#This Row],[Order_Date]], "mmm")</f>
        <v>Jan</v>
      </c>
      <c r="V108">
        <f>YEAR(Table1[[#This Row],[Order_Date]])</f>
        <v>2025</v>
      </c>
    </row>
    <row r="109" spans="1:22" x14ac:dyDescent="0.35">
      <c r="A109">
        <v>10086</v>
      </c>
      <c r="B109" t="s">
        <v>122</v>
      </c>
      <c r="C109" t="s">
        <v>258</v>
      </c>
      <c r="D109" t="s">
        <v>291</v>
      </c>
      <c r="E109" t="s">
        <v>295</v>
      </c>
      <c r="F109" s="3">
        <v>5</v>
      </c>
      <c r="G109" s="8">
        <v>91751</v>
      </c>
      <c r="H109" s="10">
        <v>5</v>
      </c>
      <c r="I109" s="8">
        <v>22938</v>
      </c>
      <c r="J109" s="8">
        <v>435817</v>
      </c>
      <c r="K109" s="8">
        <v>325000</v>
      </c>
      <c r="L109" s="8">
        <v>133755</v>
      </c>
      <c r="M109" s="4">
        <v>45685</v>
      </c>
      <c r="N109" s="4">
        <v>45690</v>
      </c>
      <c r="O109" t="s">
        <v>303</v>
      </c>
      <c r="P109" t="s">
        <v>309</v>
      </c>
      <c r="Q109" s="2" t="s">
        <v>311</v>
      </c>
      <c r="R109" t="s">
        <v>317</v>
      </c>
      <c r="S109" t="s">
        <v>320</v>
      </c>
      <c r="T109" t="str">
        <f>TEXT(Table1[[#This Row],[Order_Date]],"ddd")</f>
        <v>Tue</v>
      </c>
      <c r="U109" t="str">
        <f>TEXT(Table1[[#This Row],[Order_Date]], "mmm")</f>
        <v>Jan</v>
      </c>
      <c r="V109">
        <f>YEAR(Table1[[#This Row],[Order_Date]])</f>
        <v>2025</v>
      </c>
    </row>
    <row r="110" spans="1:22" x14ac:dyDescent="0.35">
      <c r="A110">
        <v>10125</v>
      </c>
      <c r="B110" t="s">
        <v>123</v>
      </c>
      <c r="C110" t="s">
        <v>220</v>
      </c>
      <c r="D110" t="s">
        <v>277</v>
      </c>
      <c r="E110" t="s">
        <v>295</v>
      </c>
      <c r="F110" s="3">
        <v>1</v>
      </c>
      <c r="G110" s="8">
        <v>322648</v>
      </c>
      <c r="H110" s="10">
        <v>0</v>
      </c>
      <c r="I110" s="8">
        <v>0</v>
      </c>
      <c r="J110" s="8">
        <v>322648</v>
      </c>
      <c r="K110" s="8">
        <v>240000</v>
      </c>
      <c r="L110" s="8">
        <v>82648</v>
      </c>
      <c r="M110" s="4">
        <v>45686</v>
      </c>
      <c r="N110" s="4">
        <v>45689</v>
      </c>
      <c r="O110" t="s">
        <v>305</v>
      </c>
      <c r="P110" t="s">
        <v>308</v>
      </c>
      <c r="Q110" s="2" t="s">
        <v>314</v>
      </c>
      <c r="R110" t="s">
        <v>317</v>
      </c>
      <c r="S110" t="s">
        <v>320</v>
      </c>
      <c r="T110" t="str">
        <f>TEXT(Table1[[#This Row],[Order_Date]],"ddd")</f>
        <v>Wed</v>
      </c>
      <c r="U110" t="str">
        <f>TEXT(Table1[[#This Row],[Order_Date]], "mmm")</f>
        <v>Jan</v>
      </c>
      <c r="V110">
        <f>YEAR(Table1[[#This Row],[Order_Date]])</f>
        <v>2025</v>
      </c>
    </row>
    <row r="111" spans="1:22" x14ac:dyDescent="0.35">
      <c r="A111">
        <v>10144</v>
      </c>
      <c r="B111" t="s">
        <v>124</v>
      </c>
      <c r="C111" t="s">
        <v>261</v>
      </c>
      <c r="D111" t="s">
        <v>274</v>
      </c>
      <c r="E111" t="s">
        <v>294</v>
      </c>
      <c r="F111" s="3">
        <v>4</v>
      </c>
      <c r="G111" s="8">
        <v>142847</v>
      </c>
      <c r="H111" s="10">
        <v>0</v>
      </c>
      <c r="I111" s="8">
        <v>0</v>
      </c>
      <c r="J111" s="8">
        <v>571388</v>
      </c>
      <c r="K111" s="8">
        <v>420000</v>
      </c>
      <c r="L111" s="8">
        <v>151388</v>
      </c>
      <c r="M111" s="4">
        <v>45687</v>
      </c>
      <c r="N111" s="4">
        <v>45692</v>
      </c>
      <c r="O111" t="s">
        <v>299</v>
      </c>
      <c r="P111" t="s">
        <v>308</v>
      </c>
      <c r="Q111" s="2" t="s">
        <v>313</v>
      </c>
      <c r="R111" t="s">
        <v>319</v>
      </c>
      <c r="S111" t="s">
        <v>324</v>
      </c>
      <c r="T111" t="str">
        <f>TEXT(Table1[[#This Row],[Order_Date]],"ddd")</f>
        <v>Thu</v>
      </c>
      <c r="U111" t="str">
        <f>TEXT(Table1[[#This Row],[Order_Date]], "mmm")</f>
        <v>Jan</v>
      </c>
      <c r="V111">
        <f>YEAR(Table1[[#This Row],[Order_Date]])</f>
        <v>2025</v>
      </c>
    </row>
    <row r="112" spans="1:22" x14ac:dyDescent="0.35">
      <c r="A112">
        <v>10087</v>
      </c>
      <c r="B112" t="s">
        <v>125</v>
      </c>
      <c r="C112" t="s">
        <v>262</v>
      </c>
      <c r="D112" t="s">
        <v>283</v>
      </c>
      <c r="E112" t="s">
        <v>298</v>
      </c>
      <c r="F112" s="3">
        <v>1</v>
      </c>
      <c r="G112" s="8">
        <v>21422</v>
      </c>
      <c r="H112" s="10">
        <v>10</v>
      </c>
      <c r="I112" s="8">
        <v>2142</v>
      </c>
      <c r="J112" s="8">
        <v>19280</v>
      </c>
      <c r="K112" s="8">
        <v>13000</v>
      </c>
      <c r="L112" s="8">
        <v>8422</v>
      </c>
      <c r="M112" s="4">
        <v>45688</v>
      </c>
      <c r="N112" s="4">
        <v>45693</v>
      </c>
      <c r="O112" t="s">
        <v>303</v>
      </c>
      <c r="P112" t="s">
        <v>309</v>
      </c>
      <c r="Q112" s="2" t="s">
        <v>313</v>
      </c>
      <c r="R112" t="s">
        <v>319</v>
      </c>
      <c r="S112" t="s">
        <v>320</v>
      </c>
      <c r="T112" t="str">
        <f>TEXT(Table1[[#This Row],[Order_Date]],"ddd")</f>
        <v>Fri</v>
      </c>
      <c r="U112" t="str">
        <f>TEXT(Table1[[#This Row],[Order_Date]], "mmm")</f>
        <v>Jan</v>
      </c>
      <c r="V112">
        <f>YEAR(Table1[[#This Row],[Order_Date]])</f>
        <v>2025</v>
      </c>
    </row>
    <row r="113" spans="1:22" x14ac:dyDescent="0.35">
      <c r="A113">
        <v>10096</v>
      </c>
      <c r="B113" t="s">
        <v>126</v>
      </c>
      <c r="C113" t="s">
        <v>239</v>
      </c>
      <c r="D113" t="s">
        <v>289</v>
      </c>
      <c r="E113" t="s">
        <v>296</v>
      </c>
      <c r="F113" s="3">
        <v>4</v>
      </c>
      <c r="G113" s="8">
        <v>14917</v>
      </c>
      <c r="H113" s="10">
        <v>0</v>
      </c>
      <c r="I113" s="8">
        <v>0</v>
      </c>
      <c r="J113" s="8">
        <v>59668</v>
      </c>
      <c r="K113" s="8">
        <v>32000</v>
      </c>
      <c r="L113" s="8">
        <v>27668</v>
      </c>
      <c r="M113" s="4">
        <v>45689</v>
      </c>
      <c r="N113" s="4">
        <v>45690</v>
      </c>
      <c r="O113" t="s">
        <v>305</v>
      </c>
      <c r="P113" t="s">
        <v>306</v>
      </c>
      <c r="Q113" s="2" t="s">
        <v>312</v>
      </c>
      <c r="R113" t="s">
        <v>319</v>
      </c>
      <c r="S113" t="s">
        <v>321</v>
      </c>
      <c r="T113" t="str">
        <f>TEXT(Table1[[#This Row],[Order_Date]],"ddd")</f>
        <v>Sat</v>
      </c>
      <c r="U113" t="str">
        <f>TEXT(Table1[[#This Row],[Order_Date]], "mmm")</f>
        <v>Feb</v>
      </c>
      <c r="V113">
        <f>YEAR(Table1[[#This Row],[Order_Date]])</f>
        <v>2025</v>
      </c>
    </row>
    <row r="114" spans="1:22" x14ac:dyDescent="0.35">
      <c r="A114">
        <v>10090</v>
      </c>
      <c r="B114" t="s">
        <v>127</v>
      </c>
      <c r="C114" t="s">
        <v>221</v>
      </c>
      <c r="D114" t="s">
        <v>274</v>
      </c>
      <c r="E114" t="s">
        <v>294</v>
      </c>
      <c r="F114" s="3">
        <v>2</v>
      </c>
      <c r="G114" s="8">
        <v>139666</v>
      </c>
      <c r="H114" s="10">
        <v>10</v>
      </c>
      <c r="I114" s="8">
        <v>27933</v>
      </c>
      <c r="J114" s="8">
        <v>251399</v>
      </c>
      <c r="K114" s="8">
        <v>210000</v>
      </c>
      <c r="L114" s="8">
        <v>69332</v>
      </c>
      <c r="M114" s="4">
        <v>45690</v>
      </c>
      <c r="N114" s="4">
        <v>45695</v>
      </c>
      <c r="O114" t="s">
        <v>304</v>
      </c>
      <c r="P114" t="s">
        <v>306</v>
      </c>
      <c r="Q114" s="2" t="s">
        <v>314</v>
      </c>
      <c r="R114" t="s">
        <v>319</v>
      </c>
      <c r="S114" t="s">
        <v>324</v>
      </c>
      <c r="T114" t="str">
        <f>TEXT(Table1[[#This Row],[Order_Date]],"ddd")</f>
        <v>Sun</v>
      </c>
      <c r="U114" t="str">
        <f>TEXT(Table1[[#This Row],[Order_Date]], "mmm")</f>
        <v>Feb</v>
      </c>
      <c r="V114">
        <f>YEAR(Table1[[#This Row],[Order_Date]])</f>
        <v>2025</v>
      </c>
    </row>
    <row r="115" spans="1:22" x14ac:dyDescent="0.35">
      <c r="A115">
        <v>10146</v>
      </c>
      <c r="B115" t="s">
        <v>128</v>
      </c>
      <c r="C115" t="s">
        <v>218</v>
      </c>
      <c r="D115" t="s">
        <v>286</v>
      </c>
      <c r="E115" t="s">
        <v>296</v>
      </c>
      <c r="F115" s="3">
        <v>1</v>
      </c>
      <c r="G115" s="8">
        <v>18189</v>
      </c>
      <c r="H115" s="10">
        <v>5</v>
      </c>
      <c r="I115" s="8">
        <v>909</v>
      </c>
      <c r="J115" s="8">
        <v>17280</v>
      </c>
      <c r="K115" s="8">
        <v>10000</v>
      </c>
      <c r="L115" s="8">
        <v>8189</v>
      </c>
      <c r="M115" s="4">
        <v>45691</v>
      </c>
      <c r="N115" s="4">
        <v>45694</v>
      </c>
      <c r="O115" t="s">
        <v>299</v>
      </c>
      <c r="P115" t="s">
        <v>307</v>
      </c>
      <c r="Q115" s="2" t="s">
        <v>312</v>
      </c>
      <c r="R115" t="s">
        <v>316</v>
      </c>
      <c r="S115" t="s">
        <v>323</v>
      </c>
      <c r="T115" t="str">
        <f>TEXT(Table1[[#This Row],[Order_Date]],"ddd")</f>
        <v>Mon</v>
      </c>
      <c r="U115" t="str">
        <f>TEXT(Table1[[#This Row],[Order_Date]], "mmm")</f>
        <v>Feb</v>
      </c>
      <c r="V115">
        <f>YEAR(Table1[[#This Row],[Order_Date]])</f>
        <v>2025</v>
      </c>
    </row>
    <row r="116" spans="1:22" x14ac:dyDescent="0.35">
      <c r="A116">
        <v>10059</v>
      </c>
      <c r="B116" t="s">
        <v>129</v>
      </c>
      <c r="C116" t="s">
        <v>263</v>
      </c>
      <c r="D116" t="s">
        <v>285</v>
      </c>
      <c r="E116" t="s">
        <v>297</v>
      </c>
      <c r="F116" s="3">
        <v>2</v>
      </c>
      <c r="G116" s="8">
        <v>191221</v>
      </c>
      <c r="H116" s="10">
        <v>10</v>
      </c>
      <c r="I116" s="8">
        <v>38244</v>
      </c>
      <c r="J116" s="8">
        <v>344198</v>
      </c>
      <c r="K116" s="8">
        <v>260000</v>
      </c>
      <c r="L116" s="8">
        <v>122442</v>
      </c>
      <c r="M116" s="4">
        <v>45691</v>
      </c>
      <c r="N116" s="4">
        <v>45695</v>
      </c>
      <c r="O116" t="s">
        <v>304</v>
      </c>
      <c r="P116" t="s">
        <v>309</v>
      </c>
      <c r="Q116" s="2" t="s">
        <v>311</v>
      </c>
      <c r="R116" t="s">
        <v>318</v>
      </c>
      <c r="S116" t="s">
        <v>323</v>
      </c>
      <c r="T116" t="str">
        <f>TEXT(Table1[[#This Row],[Order_Date]],"ddd")</f>
        <v>Mon</v>
      </c>
      <c r="U116" t="str">
        <f>TEXT(Table1[[#This Row],[Order_Date]], "mmm")</f>
        <v>Feb</v>
      </c>
      <c r="V116">
        <f>YEAR(Table1[[#This Row],[Order_Date]])</f>
        <v>2025</v>
      </c>
    </row>
    <row r="117" spans="1:22" x14ac:dyDescent="0.35">
      <c r="A117">
        <v>10092</v>
      </c>
      <c r="B117" t="s">
        <v>130</v>
      </c>
      <c r="C117" t="s">
        <v>251</v>
      </c>
      <c r="D117" t="s">
        <v>284</v>
      </c>
      <c r="E117" t="s">
        <v>294</v>
      </c>
      <c r="F117" s="3">
        <v>3</v>
      </c>
      <c r="G117" s="8">
        <v>853109</v>
      </c>
      <c r="H117" s="10">
        <v>5</v>
      </c>
      <c r="I117" s="8">
        <v>127966</v>
      </c>
      <c r="J117" s="8">
        <v>2431361</v>
      </c>
      <c r="K117" s="8">
        <v>1950000</v>
      </c>
      <c r="L117" s="8">
        <v>609327</v>
      </c>
      <c r="M117" s="4">
        <v>45691</v>
      </c>
      <c r="N117" s="4">
        <v>45694</v>
      </c>
      <c r="O117" t="s">
        <v>304</v>
      </c>
      <c r="P117" t="s">
        <v>308</v>
      </c>
      <c r="Q117" s="2" t="s">
        <v>311</v>
      </c>
      <c r="R117" t="s">
        <v>317</v>
      </c>
      <c r="S117" t="s">
        <v>322</v>
      </c>
      <c r="T117" t="str">
        <f>TEXT(Table1[[#This Row],[Order_Date]],"ddd")</f>
        <v>Mon</v>
      </c>
      <c r="U117" t="str">
        <f>TEXT(Table1[[#This Row],[Order_Date]], "mmm")</f>
        <v>Feb</v>
      </c>
      <c r="V117">
        <f>YEAR(Table1[[#This Row],[Order_Date]])</f>
        <v>2025</v>
      </c>
    </row>
    <row r="118" spans="1:22" x14ac:dyDescent="0.35">
      <c r="A118">
        <v>10189</v>
      </c>
      <c r="B118" t="s">
        <v>131</v>
      </c>
      <c r="C118" t="s">
        <v>263</v>
      </c>
      <c r="D118" t="s">
        <v>274</v>
      </c>
      <c r="E118" t="s">
        <v>294</v>
      </c>
      <c r="F118" s="3">
        <v>2</v>
      </c>
      <c r="G118" s="8">
        <v>148855</v>
      </c>
      <c r="H118" s="10">
        <v>5</v>
      </c>
      <c r="I118" s="8">
        <v>14886</v>
      </c>
      <c r="J118" s="8">
        <v>282824</v>
      </c>
      <c r="K118" s="8">
        <v>210000</v>
      </c>
      <c r="L118" s="8">
        <v>87710</v>
      </c>
      <c r="M118" s="4">
        <v>45692</v>
      </c>
      <c r="N118" s="4">
        <v>45696</v>
      </c>
      <c r="O118" t="s">
        <v>299</v>
      </c>
      <c r="P118" t="s">
        <v>308</v>
      </c>
      <c r="Q118" s="2" t="s">
        <v>310</v>
      </c>
      <c r="R118" t="s">
        <v>317</v>
      </c>
      <c r="S118" t="s">
        <v>323</v>
      </c>
      <c r="T118" t="str">
        <f>TEXT(Table1[[#This Row],[Order_Date]],"ddd")</f>
        <v>Tue</v>
      </c>
      <c r="U118" t="str">
        <f>TEXT(Table1[[#This Row],[Order_Date]], "mmm")</f>
        <v>Feb</v>
      </c>
      <c r="V118">
        <f>YEAR(Table1[[#This Row],[Order_Date]])</f>
        <v>2025</v>
      </c>
    </row>
    <row r="119" spans="1:22" x14ac:dyDescent="0.35">
      <c r="A119">
        <v>10168</v>
      </c>
      <c r="B119" t="s">
        <v>132</v>
      </c>
      <c r="C119" t="s">
        <v>264</v>
      </c>
      <c r="D119" t="s">
        <v>274</v>
      </c>
      <c r="E119" t="s">
        <v>294</v>
      </c>
      <c r="F119" s="3">
        <v>5</v>
      </c>
      <c r="G119" s="8">
        <v>146871</v>
      </c>
      <c r="H119" s="10">
        <v>10</v>
      </c>
      <c r="I119" s="8">
        <v>73436</v>
      </c>
      <c r="J119" s="8">
        <v>660919</v>
      </c>
      <c r="K119" s="8">
        <v>525000</v>
      </c>
      <c r="L119" s="8">
        <v>209355</v>
      </c>
      <c r="M119" s="4">
        <v>45694</v>
      </c>
      <c r="N119" s="4">
        <v>45696</v>
      </c>
      <c r="O119" t="s">
        <v>300</v>
      </c>
      <c r="P119" t="s">
        <v>308</v>
      </c>
      <c r="Q119" s="2" t="s">
        <v>313</v>
      </c>
      <c r="R119" t="s">
        <v>315</v>
      </c>
      <c r="S119" t="s">
        <v>322</v>
      </c>
      <c r="T119" t="str">
        <f>TEXT(Table1[[#This Row],[Order_Date]],"ddd")</f>
        <v>Thu</v>
      </c>
      <c r="U119" t="str">
        <f>TEXT(Table1[[#This Row],[Order_Date]], "mmm")</f>
        <v>Feb</v>
      </c>
      <c r="V119">
        <f>YEAR(Table1[[#This Row],[Order_Date]])</f>
        <v>2025</v>
      </c>
    </row>
    <row r="120" spans="1:22" x14ac:dyDescent="0.35">
      <c r="A120">
        <v>10005</v>
      </c>
      <c r="B120" t="s">
        <v>133</v>
      </c>
      <c r="C120" t="s">
        <v>239</v>
      </c>
      <c r="D120" t="s">
        <v>291</v>
      </c>
      <c r="E120" t="s">
        <v>295</v>
      </c>
      <c r="F120" s="3">
        <v>1</v>
      </c>
      <c r="G120" s="8">
        <v>98376</v>
      </c>
      <c r="H120" s="10">
        <v>0</v>
      </c>
      <c r="I120" s="8">
        <v>0</v>
      </c>
      <c r="J120" s="8">
        <v>98376</v>
      </c>
      <c r="K120" s="8">
        <v>65000</v>
      </c>
      <c r="L120" s="8">
        <v>33376</v>
      </c>
      <c r="M120" s="4">
        <v>45694</v>
      </c>
      <c r="N120" s="4">
        <v>45697</v>
      </c>
      <c r="O120" t="s">
        <v>299</v>
      </c>
      <c r="P120" t="s">
        <v>306</v>
      </c>
      <c r="Q120" s="2" t="s">
        <v>314</v>
      </c>
      <c r="R120" t="s">
        <v>319</v>
      </c>
      <c r="S120" t="s">
        <v>320</v>
      </c>
      <c r="T120" t="str">
        <f>TEXT(Table1[[#This Row],[Order_Date]],"ddd")</f>
        <v>Thu</v>
      </c>
      <c r="U120" t="str">
        <f>TEXT(Table1[[#This Row],[Order_Date]], "mmm")</f>
        <v>Feb</v>
      </c>
      <c r="V120">
        <f>YEAR(Table1[[#This Row],[Order_Date]])</f>
        <v>2025</v>
      </c>
    </row>
    <row r="121" spans="1:22" x14ac:dyDescent="0.35">
      <c r="A121">
        <v>10082</v>
      </c>
      <c r="B121" t="s">
        <v>134</v>
      </c>
      <c r="C121" t="s">
        <v>244</v>
      </c>
      <c r="D121" t="s">
        <v>276</v>
      </c>
      <c r="E121" t="s">
        <v>294</v>
      </c>
      <c r="F121" s="3">
        <v>3</v>
      </c>
      <c r="G121" s="8">
        <v>745369</v>
      </c>
      <c r="H121" s="10">
        <v>10</v>
      </c>
      <c r="I121" s="8">
        <v>223611</v>
      </c>
      <c r="J121" s="8">
        <v>2012496</v>
      </c>
      <c r="K121" s="8">
        <v>1650000</v>
      </c>
      <c r="L121" s="8">
        <v>586107</v>
      </c>
      <c r="M121" s="4">
        <v>45694</v>
      </c>
      <c r="N121" s="4">
        <v>45697</v>
      </c>
      <c r="O121" t="s">
        <v>305</v>
      </c>
      <c r="P121" t="s">
        <v>308</v>
      </c>
      <c r="Q121" s="2" t="s">
        <v>312</v>
      </c>
      <c r="R121" t="s">
        <v>317</v>
      </c>
      <c r="S121" t="s">
        <v>323</v>
      </c>
      <c r="T121" t="str">
        <f>TEXT(Table1[[#This Row],[Order_Date]],"ddd")</f>
        <v>Thu</v>
      </c>
      <c r="U121" t="str">
        <f>TEXT(Table1[[#This Row],[Order_Date]], "mmm")</f>
        <v>Feb</v>
      </c>
      <c r="V121">
        <f>YEAR(Table1[[#This Row],[Order_Date]])</f>
        <v>2025</v>
      </c>
    </row>
    <row r="122" spans="1:22" x14ac:dyDescent="0.35">
      <c r="A122">
        <v>10032</v>
      </c>
      <c r="B122" t="s">
        <v>135</v>
      </c>
      <c r="C122" t="s">
        <v>227</v>
      </c>
      <c r="D122" t="s">
        <v>287</v>
      </c>
      <c r="E122" t="s">
        <v>298</v>
      </c>
      <c r="F122" s="3">
        <v>2</v>
      </c>
      <c r="G122" s="8">
        <v>24417</v>
      </c>
      <c r="H122" s="10">
        <v>0</v>
      </c>
      <c r="I122" s="8">
        <v>0</v>
      </c>
      <c r="J122" s="8">
        <v>48834</v>
      </c>
      <c r="K122" s="8">
        <v>30000</v>
      </c>
      <c r="L122" s="8">
        <v>18834</v>
      </c>
      <c r="M122" s="4">
        <v>45694</v>
      </c>
      <c r="N122" s="4">
        <v>45695</v>
      </c>
      <c r="O122" t="s">
        <v>300</v>
      </c>
      <c r="P122" t="s">
        <v>307</v>
      </c>
      <c r="Q122" s="2" t="s">
        <v>314</v>
      </c>
      <c r="R122" t="s">
        <v>317</v>
      </c>
      <c r="S122" t="s">
        <v>324</v>
      </c>
      <c r="T122" t="str">
        <f>TEXT(Table1[[#This Row],[Order_Date]],"ddd")</f>
        <v>Thu</v>
      </c>
      <c r="U122" t="str">
        <f>TEXT(Table1[[#This Row],[Order_Date]], "mmm")</f>
        <v>Feb</v>
      </c>
      <c r="V122">
        <f>YEAR(Table1[[#This Row],[Order_Date]])</f>
        <v>2025</v>
      </c>
    </row>
    <row r="123" spans="1:22" x14ac:dyDescent="0.35">
      <c r="A123">
        <v>10080</v>
      </c>
      <c r="B123" t="s">
        <v>136</v>
      </c>
      <c r="C123" t="s">
        <v>229</v>
      </c>
      <c r="D123" t="s">
        <v>275</v>
      </c>
      <c r="E123" t="s">
        <v>294</v>
      </c>
      <c r="F123" s="3">
        <v>3</v>
      </c>
      <c r="G123" s="8">
        <v>973247</v>
      </c>
      <c r="H123" s="10">
        <v>5</v>
      </c>
      <c r="I123" s="8">
        <v>145987</v>
      </c>
      <c r="J123" s="8">
        <v>2773754</v>
      </c>
      <c r="K123" s="8">
        <v>2250000</v>
      </c>
      <c r="L123" s="8">
        <v>669741</v>
      </c>
      <c r="M123" s="4">
        <v>45695</v>
      </c>
      <c r="N123" s="4">
        <v>45697</v>
      </c>
      <c r="O123" t="s">
        <v>299</v>
      </c>
      <c r="P123" t="s">
        <v>306</v>
      </c>
      <c r="Q123" s="2" t="s">
        <v>314</v>
      </c>
      <c r="R123" t="s">
        <v>316</v>
      </c>
      <c r="S123" t="s">
        <v>321</v>
      </c>
      <c r="T123" t="str">
        <f>TEXT(Table1[[#This Row],[Order_Date]],"ddd")</f>
        <v>Fri</v>
      </c>
      <c r="U123" t="str">
        <f>TEXT(Table1[[#This Row],[Order_Date]], "mmm")</f>
        <v>Feb</v>
      </c>
      <c r="V123">
        <f>YEAR(Table1[[#This Row],[Order_Date]])</f>
        <v>2025</v>
      </c>
    </row>
    <row r="124" spans="1:22" x14ac:dyDescent="0.35">
      <c r="A124">
        <v>10035</v>
      </c>
      <c r="B124" t="s">
        <v>137</v>
      </c>
      <c r="C124" t="s">
        <v>265</v>
      </c>
      <c r="D124" t="s">
        <v>287</v>
      </c>
      <c r="E124" t="s">
        <v>298</v>
      </c>
      <c r="F124" s="3">
        <v>5</v>
      </c>
      <c r="G124" s="8">
        <v>26211</v>
      </c>
      <c r="H124" s="10">
        <v>0</v>
      </c>
      <c r="I124" s="8">
        <v>0</v>
      </c>
      <c r="J124" s="8">
        <v>131055</v>
      </c>
      <c r="K124" s="8">
        <v>75000</v>
      </c>
      <c r="L124" s="8">
        <v>56055</v>
      </c>
      <c r="M124" s="4">
        <v>45695</v>
      </c>
      <c r="N124" s="4">
        <v>45700</v>
      </c>
      <c r="O124" t="s">
        <v>302</v>
      </c>
      <c r="P124" t="s">
        <v>309</v>
      </c>
      <c r="Q124" s="2" t="s">
        <v>313</v>
      </c>
      <c r="R124" t="s">
        <v>319</v>
      </c>
      <c r="S124" t="s">
        <v>321</v>
      </c>
      <c r="T124" t="str">
        <f>TEXT(Table1[[#This Row],[Order_Date]],"ddd")</f>
        <v>Fri</v>
      </c>
      <c r="U124" t="str">
        <f>TEXT(Table1[[#This Row],[Order_Date]], "mmm")</f>
        <v>Feb</v>
      </c>
      <c r="V124">
        <f>YEAR(Table1[[#This Row],[Order_Date]])</f>
        <v>2025</v>
      </c>
    </row>
    <row r="125" spans="1:22" x14ac:dyDescent="0.35">
      <c r="A125">
        <v>10033</v>
      </c>
      <c r="B125" t="s">
        <v>138</v>
      </c>
      <c r="C125" t="s">
        <v>253</v>
      </c>
      <c r="D125" t="s">
        <v>278</v>
      </c>
      <c r="E125" t="s">
        <v>296</v>
      </c>
      <c r="F125" s="3">
        <v>2</v>
      </c>
      <c r="G125" s="8">
        <v>33333</v>
      </c>
      <c r="H125" s="10">
        <v>0</v>
      </c>
      <c r="I125" s="8">
        <v>0</v>
      </c>
      <c r="J125" s="8">
        <v>66666</v>
      </c>
      <c r="K125" s="8">
        <v>40000</v>
      </c>
      <c r="L125" s="8">
        <v>26666</v>
      </c>
      <c r="M125" s="4">
        <v>45699</v>
      </c>
      <c r="N125" s="4">
        <v>45702</v>
      </c>
      <c r="O125" t="s">
        <v>303</v>
      </c>
      <c r="P125" t="s">
        <v>306</v>
      </c>
      <c r="Q125" s="2" t="s">
        <v>311</v>
      </c>
      <c r="R125" t="s">
        <v>316</v>
      </c>
      <c r="S125" t="s">
        <v>323</v>
      </c>
      <c r="T125" t="str">
        <f>TEXT(Table1[[#This Row],[Order_Date]],"ddd")</f>
        <v>Tue</v>
      </c>
      <c r="U125" t="str">
        <f>TEXT(Table1[[#This Row],[Order_Date]], "mmm")</f>
        <v>Feb</v>
      </c>
      <c r="V125">
        <f>YEAR(Table1[[#This Row],[Order_Date]])</f>
        <v>2025</v>
      </c>
    </row>
    <row r="126" spans="1:22" x14ac:dyDescent="0.35">
      <c r="A126">
        <v>10020</v>
      </c>
      <c r="B126" t="s">
        <v>139</v>
      </c>
      <c r="C126" t="s">
        <v>249</v>
      </c>
      <c r="D126" t="s">
        <v>274</v>
      </c>
      <c r="E126" t="s">
        <v>294</v>
      </c>
      <c r="F126" s="3">
        <v>4</v>
      </c>
      <c r="G126" s="8">
        <v>144792</v>
      </c>
      <c r="H126" s="10">
        <v>0</v>
      </c>
      <c r="I126" s="8">
        <v>0</v>
      </c>
      <c r="J126" s="8">
        <v>579168</v>
      </c>
      <c r="K126" s="8">
        <v>420000</v>
      </c>
      <c r="L126" s="8">
        <v>159168</v>
      </c>
      <c r="M126" s="4">
        <v>45699</v>
      </c>
      <c r="N126" s="4">
        <v>45700</v>
      </c>
      <c r="O126" t="s">
        <v>302</v>
      </c>
      <c r="P126" t="s">
        <v>309</v>
      </c>
      <c r="Q126" s="2" t="s">
        <v>313</v>
      </c>
      <c r="R126" t="s">
        <v>317</v>
      </c>
      <c r="S126" t="s">
        <v>320</v>
      </c>
      <c r="T126" t="str">
        <f>TEXT(Table1[[#This Row],[Order_Date]],"ddd")</f>
        <v>Tue</v>
      </c>
      <c r="U126" t="str">
        <f>TEXT(Table1[[#This Row],[Order_Date]], "mmm")</f>
        <v>Feb</v>
      </c>
      <c r="V126">
        <f>YEAR(Table1[[#This Row],[Order_Date]])</f>
        <v>2025</v>
      </c>
    </row>
    <row r="127" spans="1:22" x14ac:dyDescent="0.35">
      <c r="A127">
        <v>10073</v>
      </c>
      <c r="B127" t="s">
        <v>140</v>
      </c>
      <c r="C127" t="s">
        <v>239</v>
      </c>
      <c r="D127" t="s">
        <v>276</v>
      </c>
      <c r="E127" t="s">
        <v>294</v>
      </c>
      <c r="F127" s="3">
        <v>3</v>
      </c>
      <c r="G127" s="8">
        <v>702173</v>
      </c>
      <c r="H127" s="10">
        <v>0</v>
      </c>
      <c r="I127" s="8">
        <v>0</v>
      </c>
      <c r="J127" s="8">
        <v>2106519</v>
      </c>
      <c r="K127" s="8">
        <v>1650000</v>
      </c>
      <c r="L127" s="8">
        <v>456519</v>
      </c>
      <c r="M127" s="4">
        <v>45700</v>
      </c>
      <c r="N127" s="4">
        <v>45705</v>
      </c>
      <c r="O127" t="s">
        <v>300</v>
      </c>
      <c r="P127" t="s">
        <v>309</v>
      </c>
      <c r="Q127" s="2" t="s">
        <v>312</v>
      </c>
      <c r="R127" t="s">
        <v>316</v>
      </c>
      <c r="S127" t="s">
        <v>324</v>
      </c>
      <c r="T127" t="str">
        <f>TEXT(Table1[[#This Row],[Order_Date]],"ddd")</f>
        <v>Wed</v>
      </c>
      <c r="U127" t="str">
        <f>TEXT(Table1[[#This Row],[Order_Date]], "mmm")</f>
        <v>Feb</v>
      </c>
      <c r="V127">
        <f>YEAR(Table1[[#This Row],[Order_Date]])</f>
        <v>2025</v>
      </c>
    </row>
    <row r="128" spans="1:22" x14ac:dyDescent="0.35">
      <c r="A128">
        <v>10023</v>
      </c>
      <c r="B128" t="s">
        <v>141</v>
      </c>
      <c r="C128" t="s">
        <v>236</v>
      </c>
      <c r="D128" t="s">
        <v>276</v>
      </c>
      <c r="E128" t="s">
        <v>294</v>
      </c>
      <c r="F128" s="3">
        <v>5</v>
      </c>
      <c r="G128" s="8">
        <v>688893</v>
      </c>
      <c r="H128" s="10">
        <v>0</v>
      </c>
      <c r="I128" s="8">
        <v>0</v>
      </c>
      <c r="J128" s="8">
        <v>3444465</v>
      </c>
      <c r="K128" s="8">
        <v>2750000</v>
      </c>
      <c r="L128" s="8">
        <v>694465</v>
      </c>
      <c r="M128" s="4">
        <v>45700</v>
      </c>
      <c r="N128" s="4">
        <v>45701</v>
      </c>
      <c r="O128" t="s">
        <v>304</v>
      </c>
      <c r="P128" t="s">
        <v>308</v>
      </c>
      <c r="Q128" s="2" t="s">
        <v>312</v>
      </c>
      <c r="R128" t="s">
        <v>315</v>
      </c>
      <c r="S128" t="s">
        <v>323</v>
      </c>
      <c r="T128" t="str">
        <f>TEXT(Table1[[#This Row],[Order_Date]],"ddd")</f>
        <v>Wed</v>
      </c>
      <c r="U128" t="str">
        <f>TEXT(Table1[[#This Row],[Order_Date]], "mmm")</f>
        <v>Feb</v>
      </c>
      <c r="V128">
        <f>YEAR(Table1[[#This Row],[Order_Date]])</f>
        <v>2025</v>
      </c>
    </row>
    <row r="129" spans="1:22" x14ac:dyDescent="0.35">
      <c r="A129">
        <v>10169</v>
      </c>
      <c r="B129" t="s">
        <v>142</v>
      </c>
      <c r="C129" t="s">
        <v>235</v>
      </c>
      <c r="D129" t="s">
        <v>277</v>
      </c>
      <c r="E129" t="s">
        <v>295</v>
      </c>
      <c r="F129" s="3">
        <v>4</v>
      </c>
      <c r="G129" s="8">
        <v>308846</v>
      </c>
      <c r="H129" s="10">
        <v>0</v>
      </c>
      <c r="I129" s="8">
        <v>0</v>
      </c>
      <c r="J129" s="8">
        <v>1235384</v>
      </c>
      <c r="K129" s="8">
        <v>960000</v>
      </c>
      <c r="L129" s="8">
        <v>275384</v>
      </c>
      <c r="M129" s="4">
        <v>45702</v>
      </c>
      <c r="N129" s="4">
        <v>45707</v>
      </c>
      <c r="O129" t="s">
        <v>300</v>
      </c>
      <c r="P129" t="s">
        <v>308</v>
      </c>
      <c r="Q129" s="2" t="s">
        <v>310</v>
      </c>
      <c r="R129" t="s">
        <v>318</v>
      </c>
      <c r="S129" t="s">
        <v>322</v>
      </c>
      <c r="T129" t="str">
        <f>TEXT(Table1[[#This Row],[Order_Date]],"ddd")</f>
        <v>Fri</v>
      </c>
      <c r="U129" t="str">
        <f>TEXT(Table1[[#This Row],[Order_Date]], "mmm")</f>
        <v>Feb</v>
      </c>
      <c r="V129">
        <f>YEAR(Table1[[#This Row],[Order_Date]])</f>
        <v>2025</v>
      </c>
    </row>
    <row r="130" spans="1:22" x14ac:dyDescent="0.35">
      <c r="A130">
        <v>10095</v>
      </c>
      <c r="B130" t="s">
        <v>143</v>
      </c>
      <c r="C130" t="s">
        <v>233</v>
      </c>
      <c r="D130" t="s">
        <v>287</v>
      </c>
      <c r="E130" t="s">
        <v>298</v>
      </c>
      <c r="F130" s="3">
        <v>5</v>
      </c>
      <c r="G130" s="8">
        <v>25606</v>
      </c>
      <c r="H130" s="10">
        <v>0</v>
      </c>
      <c r="I130" s="8">
        <v>0</v>
      </c>
      <c r="J130" s="8">
        <v>128030</v>
      </c>
      <c r="K130" s="8">
        <v>75000</v>
      </c>
      <c r="L130" s="8">
        <v>53030</v>
      </c>
      <c r="M130" s="4">
        <v>45703</v>
      </c>
      <c r="N130" s="4">
        <v>45704</v>
      </c>
      <c r="O130" t="s">
        <v>300</v>
      </c>
      <c r="P130" t="s">
        <v>309</v>
      </c>
      <c r="Q130" s="2" t="s">
        <v>312</v>
      </c>
      <c r="R130" t="s">
        <v>317</v>
      </c>
      <c r="S130" t="s">
        <v>320</v>
      </c>
      <c r="T130" t="str">
        <f>TEXT(Table1[[#This Row],[Order_Date]],"ddd")</f>
        <v>Sat</v>
      </c>
      <c r="U130" t="str">
        <f>TEXT(Table1[[#This Row],[Order_Date]], "mmm")</f>
        <v>Feb</v>
      </c>
      <c r="V130">
        <f>YEAR(Table1[[#This Row],[Order_Date]])</f>
        <v>2025</v>
      </c>
    </row>
    <row r="131" spans="1:22" x14ac:dyDescent="0.35">
      <c r="A131">
        <v>10135</v>
      </c>
      <c r="B131" t="s">
        <v>144</v>
      </c>
      <c r="C131" t="s">
        <v>260</v>
      </c>
      <c r="D131" t="s">
        <v>278</v>
      </c>
      <c r="E131" t="s">
        <v>296</v>
      </c>
      <c r="F131" s="3">
        <v>3</v>
      </c>
      <c r="G131" s="8">
        <v>33676</v>
      </c>
      <c r="H131" s="10">
        <v>0</v>
      </c>
      <c r="I131" s="8">
        <v>0</v>
      </c>
      <c r="J131" s="8">
        <v>101028</v>
      </c>
      <c r="K131" s="8">
        <v>60000</v>
      </c>
      <c r="L131" s="8">
        <v>41028</v>
      </c>
      <c r="M131" s="4">
        <v>45704</v>
      </c>
      <c r="N131" s="4">
        <v>45709</v>
      </c>
      <c r="O131" t="s">
        <v>299</v>
      </c>
      <c r="P131" t="s">
        <v>309</v>
      </c>
      <c r="Q131" s="2" t="s">
        <v>313</v>
      </c>
      <c r="R131" t="s">
        <v>316</v>
      </c>
      <c r="S131" t="s">
        <v>323</v>
      </c>
      <c r="T131" t="str">
        <f>TEXT(Table1[[#This Row],[Order_Date]],"ddd")</f>
        <v>Sun</v>
      </c>
      <c r="U131" t="str">
        <f>TEXT(Table1[[#This Row],[Order_Date]], "mmm")</f>
        <v>Feb</v>
      </c>
      <c r="V131">
        <f>YEAR(Table1[[#This Row],[Order_Date]])</f>
        <v>2025</v>
      </c>
    </row>
    <row r="132" spans="1:22" x14ac:dyDescent="0.35">
      <c r="A132">
        <v>10041</v>
      </c>
      <c r="B132" t="s">
        <v>145</v>
      </c>
      <c r="C132" t="s">
        <v>215</v>
      </c>
      <c r="D132" t="s">
        <v>288</v>
      </c>
      <c r="E132" t="s">
        <v>297</v>
      </c>
      <c r="F132" s="3">
        <v>1</v>
      </c>
      <c r="G132" s="8">
        <v>124712</v>
      </c>
      <c r="H132" s="10">
        <v>0</v>
      </c>
      <c r="I132" s="8">
        <v>0</v>
      </c>
      <c r="J132" s="8">
        <v>124712</v>
      </c>
      <c r="K132" s="8">
        <v>80000</v>
      </c>
      <c r="L132" s="8">
        <v>44712</v>
      </c>
      <c r="M132" s="4">
        <v>45705</v>
      </c>
      <c r="N132" s="4">
        <v>45707</v>
      </c>
      <c r="O132" t="s">
        <v>302</v>
      </c>
      <c r="P132" t="s">
        <v>308</v>
      </c>
      <c r="Q132" s="2" t="s">
        <v>310</v>
      </c>
      <c r="R132" t="s">
        <v>318</v>
      </c>
      <c r="S132" t="s">
        <v>323</v>
      </c>
      <c r="T132" t="str">
        <f>TEXT(Table1[[#This Row],[Order_Date]],"ddd")</f>
        <v>Mon</v>
      </c>
      <c r="U132" t="str">
        <f>TEXT(Table1[[#This Row],[Order_Date]], "mmm")</f>
        <v>Feb</v>
      </c>
      <c r="V132">
        <f>YEAR(Table1[[#This Row],[Order_Date]])</f>
        <v>2025</v>
      </c>
    </row>
    <row r="133" spans="1:22" x14ac:dyDescent="0.35">
      <c r="A133">
        <v>10115</v>
      </c>
      <c r="B133" t="s">
        <v>146</v>
      </c>
      <c r="C133" t="s">
        <v>266</v>
      </c>
      <c r="D133" t="s">
        <v>281</v>
      </c>
      <c r="E133" t="s">
        <v>298</v>
      </c>
      <c r="F133" s="3">
        <v>1</v>
      </c>
      <c r="G133" s="8">
        <v>18652</v>
      </c>
      <c r="H133" s="10">
        <v>10</v>
      </c>
      <c r="I133" s="8">
        <v>1865</v>
      </c>
      <c r="J133" s="8">
        <v>16787</v>
      </c>
      <c r="K133" s="8">
        <v>10000</v>
      </c>
      <c r="L133" s="8">
        <v>8652</v>
      </c>
      <c r="M133" s="4">
        <v>45706</v>
      </c>
      <c r="N133" s="4">
        <v>45711</v>
      </c>
      <c r="O133" t="s">
        <v>299</v>
      </c>
      <c r="P133" t="s">
        <v>308</v>
      </c>
      <c r="Q133" s="2" t="s">
        <v>311</v>
      </c>
      <c r="R133" t="s">
        <v>317</v>
      </c>
      <c r="S133" t="s">
        <v>324</v>
      </c>
      <c r="T133" t="str">
        <f>TEXT(Table1[[#This Row],[Order_Date]],"ddd")</f>
        <v>Tue</v>
      </c>
      <c r="U133" t="str">
        <f>TEXT(Table1[[#This Row],[Order_Date]], "mmm")</f>
        <v>Feb</v>
      </c>
      <c r="V133">
        <f>YEAR(Table1[[#This Row],[Order_Date]])</f>
        <v>2025</v>
      </c>
    </row>
    <row r="134" spans="1:22" x14ac:dyDescent="0.35">
      <c r="A134">
        <v>10054</v>
      </c>
      <c r="B134" t="s">
        <v>147</v>
      </c>
      <c r="C134" t="s">
        <v>257</v>
      </c>
      <c r="D134" t="s">
        <v>284</v>
      </c>
      <c r="E134" t="s">
        <v>294</v>
      </c>
      <c r="F134" s="3">
        <v>4</v>
      </c>
      <c r="G134" s="8">
        <v>877398</v>
      </c>
      <c r="H134" s="10">
        <v>0</v>
      </c>
      <c r="I134" s="8">
        <v>0</v>
      </c>
      <c r="J134" s="8">
        <v>3509592</v>
      </c>
      <c r="K134" s="8">
        <v>2600000</v>
      </c>
      <c r="L134" s="8">
        <v>909592</v>
      </c>
      <c r="M134" s="4">
        <v>45707</v>
      </c>
      <c r="N134" s="4">
        <v>45710</v>
      </c>
      <c r="O134" t="s">
        <v>305</v>
      </c>
      <c r="P134" t="s">
        <v>309</v>
      </c>
      <c r="Q134" s="2" t="s">
        <v>314</v>
      </c>
      <c r="R134" t="s">
        <v>317</v>
      </c>
      <c r="S134" t="s">
        <v>322</v>
      </c>
      <c r="T134" t="str">
        <f>TEXT(Table1[[#This Row],[Order_Date]],"ddd")</f>
        <v>Wed</v>
      </c>
      <c r="U134" t="str">
        <f>TEXT(Table1[[#This Row],[Order_Date]], "mmm")</f>
        <v>Feb</v>
      </c>
      <c r="V134">
        <f>YEAR(Table1[[#This Row],[Order_Date]])</f>
        <v>2025</v>
      </c>
    </row>
    <row r="135" spans="1:22" x14ac:dyDescent="0.35">
      <c r="A135">
        <v>10026</v>
      </c>
      <c r="B135" t="s">
        <v>148</v>
      </c>
      <c r="C135" t="s">
        <v>249</v>
      </c>
      <c r="D135" t="s">
        <v>276</v>
      </c>
      <c r="E135" t="s">
        <v>294</v>
      </c>
      <c r="F135" s="3">
        <v>2</v>
      </c>
      <c r="G135" s="8">
        <v>710606</v>
      </c>
      <c r="H135" s="10">
        <v>0</v>
      </c>
      <c r="I135" s="8">
        <v>0</v>
      </c>
      <c r="J135" s="8">
        <v>1421212</v>
      </c>
      <c r="K135" s="8">
        <v>1100000</v>
      </c>
      <c r="L135" s="8">
        <v>321212</v>
      </c>
      <c r="M135" s="4">
        <v>45709</v>
      </c>
      <c r="N135" s="4">
        <v>45714</v>
      </c>
      <c r="O135" t="s">
        <v>305</v>
      </c>
      <c r="P135" t="s">
        <v>308</v>
      </c>
      <c r="Q135" s="2" t="s">
        <v>312</v>
      </c>
      <c r="R135" t="s">
        <v>319</v>
      </c>
      <c r="S135" t="s">
        <v>323</v>
      </c>
      <c r="T135" t="str">
        <f>TEXT(Table1[[#This Row],[Order_Date]],"ddd")</f>
        <v>Fri</v>
      </c>
      <c r="U135" t="str">
        <f>TEXT(Table1[[#This Row],[Order_Date]], "mmm")</f>
        <v>Feb</v>
      </c>
      <c r="V135">
        <f>YEAR(Table1[[#This Row],[Order_Date]])</f>
        <v>2025</v>
      </c>
    </row>
    <row r="136" spans="1:22" x14ac:dyDescent="0.35">
      <c r="A136">
        <v>10019</v>
      </c>
      <c r="B136" t="s">
        <v>149</v>
      </c>
      <c r="C136" t="s">
        <v>266</v>
      </c>
      <c r="D136" t="s">
        <v>292</v>
      </c>
      <c r="E136" t="s">
        <v>296</v>
      </c>
      <c r="F136" s="3">
        <v>4</v>
      </c>
      <c r="G136" s="8">
        <v>175497</v>
      </c>
      <c r="H136" s="10">
        <v>0</v>
      </c>
      <c r="I136" s="8">
        <v>0</v>
      </c>
      <c r="J136" s="8">
        <v>701988</v>
      </c>
      <c r="K136" s="8">
        <v>520000</v>
      </c>
      <c r="L136" s="8">
        <v>181988</v>
      </c>
      <c r="M136" s="4">
        <v>45710</v>
      </c>
      <c r="N136" s="4">
        <v>45715</v>
      </c>
      <c r="O136" t="s">
        <v>301</v>
      </c>
      <c r="P136" t="s">
        <v>308</v>
      </c>
      <c r="Q136" s="2" t="s">
        <v>312</v>
      </c>
      <c r="R136" t="s">
        <v>316</v>
      </c>
      <c r="S136" t="s">
        <v>321</v>
      </c>
      <c r="T136" t="str">
        <f>TEXT(Table1[[#This Row],[Order_Date]],"ddd")</f>
        <v>Sat</v>
      </c>
      <c r="U136" t="str">
        <f>TEXT(Table1[[#This Row],[Order_Date]], "mmm")</f>
        <v>Feb</v>
      </c>
      <c r="V136">
        <f>YEAR(Table1[[#This Row],[Order_Date]])</f>
        <v>2025</v>
      </c>
    </row>
    <row r="137" spans="1:22" x14ac:dyDescent="0.35">
      <c r="A137">
        <v>10111</v>
      </c>
      <c r="B137" t="s">
        <v>150</v>
      </c>
      <c r="C137" t="s">
        <v>217</v>
      </c>
      <c r="D137" t="s">
        <v>280</v>
      </c>
      <c r="E137" t="s">
        <v>296</v>
      </c>
      <c r="F137" s="3">
        <v>1</v>
      </c>
      <c r="G137" s="8">
        <v>12209</v>
      </c>
      <c r="H137" s="10">
        <v>0</v>
      </c>
      <c r="I137" s="8">
        <v>0</v>
      </c>
      <c r="J137" s="8">
        <v>12209</v>
      </c>
      <c r="K137" s="8">
        <v>6500</v>
      </c>
      <c r="L137" s="8">
        <v>5709</v>
      </c>
      <c r="M137" s="4">
        <v>45710</v>
      </c>
      <c r="N137" s="4">
        <v>45714</v>
      </c>
      <c r="O137" t="s">
        <v>299</v>
      </c>
      <c r="P137" t="s">
        <v>309</v>
      </c>
      <c r="Q137" s="2" t="s">
        <v>310</v>
      </c>
      <c r="R137" t="s">
        <v>318</v>
      </c>
      <c r="S137" t="s">
        <v>320</v>
      </c>
      <c r="T137" t="str">
        <f>TEXT(Table1[[#This Row],[Order_Date]],"ddd")</f>
        <v>Sat</v>
      </c>
      <c r="U137" t="str">
        <f>TEXT(Table1[[#This Row],[Order_Date]], "mmm")</f>
        <v>Feb</v>
      </c>
      <c r="V137">
        <f>YEAR(Table1[[#This Row],[Order_Date]])</f>
        <v>2025</v>
      </c>
    </row>
    <row r="138" spans="1:22" x14ac:dyDescent="0.35">
      <c r="A138">
        <v>10079</v>
      </c>
      <c r="B138" t="s">
        <v>151</v>
      </c>
      <c r="C138" t="s">
        <v>248</v>
      </c>
      <c r="D138" t="s">
        <v>277</v>
      </c>
      <c r="E138" t="s">
        <v>295</v>
      </c>
      <c r="F138" s="3">
        <v>5</v>
      </c>
      <c r="G138" s="8">
        <v>328412</v>
      </c>
      <c r="H138" s="10">
        <v>5</v>
      </c>
      <c r="I138" s="8">
        <v>82103</v>
      </c>
      <c r="J138" s="8">
        <v>1559957</v>
      </c>
      <c r="K138" s="8">
        <v>1200000</v>
      </c>
      <c r="L138" s="8">
        <v>442060</v>
      </c>
      <c r="M138" s="4">
        <v>45713</v>
      </c>
      <c r="N138" s="4">
        <v>45716</v>
      </c>
      <c r="O138" t="s">
        <v>300</v>
      </c>
      <c r="P138" t="s">
        <v>309</v>
      </c>
      <c r="Q138" s="2" t="s">
        <v>314</v>
      </c>
      <c r="R138" t="s">
        <v>315</v>
      </c>
      <c r="S138" t="s">
        <v>322</v>
      </c>
      <c r="T138" t="str">
        <f>TEXT(Table1[[#This Row],[Order_Date]],"ddd")</f>
        <v>Tue</v>
      </c>
      <c r="U138" t="str">
        <f>TEXT(Table1[[#This Row],[Order_Date]], "mmm")</f>
        <v>Feb</v>
      </c>
      <c r="V138">
        <f>YEAR(Table1[[#This Row],[Order_Date]])</f>
        <v>2025</v>
      </c>
    </row>
    <row r="139" spans="1:22" x14ac:dyDescent="0.35">
      <c r="A139">
        <v>10045</v>
      </c>
      <c r="B139" t="s">
        <v>152</v>
      </c>
      <c r="C139" t="s">
        <v>261</v>
      </c>
      <c r="D139" t="s">
        <v>276</v>
      </c>
      <c r="E139" t="s">
        <v>294</v>
      </c>
      <c r="F139" s="3">
        <v>4</v>
      </c>
      <c r="G139" s="8">
        <v>713347</v>
      </c>
      <c r="H139" s="10">
        <v>10</v>
      </c>
      <c r="I139" s="8">
        <v>285339</v>
      </c>
      <c r="J139" s="8">
        <v>2568049</v>
      </c>
      <c r="K139" s="8">
        <v>2200000</v>
      </c>
      <c r="L139" s="8">
        <v>653388</v>
      </c>
      <c r="M139" s="4">
        <v>45716</v>
      </c>
      <c r="N139" s="4">
        <v>45720</v>
      </c>
      <c r="O139" t="s">
        <v>301</v>
      </c>
      <c r="P139" t="s">
        <v>309</v>
      </c>
      <c r="Q139" s="2" t="s">
        <v>310</v>
      </c>
      <c r="R139" t="s">
        <v>315</v>
      </c>
      <c r="S139" t="s">
        <v>323</v>
      </c>
      <c r="T139" t="str">
        <f>TEXT(Table1[[#This Row],[Order_Date]],"ddd")</f>
        <v>Fri</v>
      </c>
      <c r="U139" t="str">
        <f>TEXT(Table1[[#This Row],[Order_Date]], "mmm")</f>
        <v>Feb</v>
      </c>
      <c r="V139">
        <f>YEAR(Table1[[#This Row],[Order_Date]])</f>
        <v>2025</v>
      </c>
    </row>
    <row r="140" spans="1:22" x14ac:dyDescent="0.35">
      <c r="A140">
        <v>10022</v>
      </c>
      <c r="B140" t="s">
        <v>153</v>
      </c>
      <c r="C140" t="s">
        <v>264</v>
      </c>
      <c r="D140" t="s">
        <v>275</v>
      </c>
      <c r="E140" t="s">
        <v>294</v>
      </c>
      <c r="F140" s="3">
        <v>3</v>
      </c>
      <c r="G140" s="8">
        <v>907931</v>
      </c>
      <c r="H140" s="10">
        <v>10</v>
      </c>
      <c r="I140" s="8">
        <v>272379</v>
      </c>
      <c r="J140" s="8">
        <v>2451414</v>
      </c>
      <c r="K140" s="8">
        <v>2250000</v>
      </c>
      <c r="L140" s="8">
        <v>473793</v>
      </c>
      <c r="M140" s="4">
        <v>45719</v>
      </c>
      <c r="N140" s="4">
        <v>45724</v>
      </c>
      <c r="O140" t="s">
        <v>300</v>
      </c>
      <c r="P140" t="s">
        <v>308</v>
      </c>
      <c r="Q140" s="2" t="s">
        <v>314</v>
      </c>
      <c r="R140" t="s">
        <v>318</v>
      </c>
      <c r="S140" t="s">
        <v>323</v>
      </c>
      <c r="T140" t="str">
        <f>TEXT(Table1[[#This Row],[Order_Date]],"ddd")</f>
        <v>Mon</v>
      </c>
      <c r="U140" t="str">
        <f>TEXT(Table1[[#This Row],[Order_Date]], "mmm")</f>
        <v>Mar</v>
      </c>
      <c r="V140">
        <f>YEAR(Table1[[#This Row],[Order_Date]])</f>
        <v>2025</v>
      </c>
    </row>
    <row r="141" spans="1:22" x14ac:dyDescent="0.35">
      <c r="A141">
        <v>10151</v>
      </c>
      <c r="B141" t="s">
        <v>154</v>
      </c>
      <c r="C141" t="s">
        <v>245</v>
      </c>
      <c r="D141" t="s">
        <v>280</v>
      </c>
      <c r="E141" t="s">
        <v>296</v>
      </c>
      <c r="F141" s="3">
        <v>1</v>
      </c>
      <c r="G141" s="8">
        <v>11479</v>
      </c>
      <c r="H141" s="10">
        <v>5</v>
      </c>
      <c r="I141" s="8">
        <v>574</v>
      </c>
      <c r="J141" s="8">
        <v>10905</v>
      </c>
      <c r="K141" s="8">
        <v>6500</v>
      </c>
      <c r="L141" s="8">
        <v>4979</v>
      </c>
      <c r="M141" s="4">
        <v>45719</v>
      </c>
      <c r="N141" s="4">
        <v>45724</v>
      </c>
      <c r="O141" t="s">
        <v>299</v>
      </c>
      <c r="P141" t="s">
        <v>308</v>
      </c>
      <c r="Q141" s="2" t="s">
        <v>312</v>
      </c>
      <c r="R141" t="s">
        <v>317</v>
      </c>
      <c r="S141" t="s">
        <v>322</v>
      </c>
      <c r="T141" t="str">
        <f>TEXT(Table1[[#This Row],[Order_Date]],"ddd")</f>
        <v>Mon</v>
      </c>
      <c r="U141" t="str">
        <f>TEXT(Table1[[#This Row],[Order_Date]], "mmm")</f>
        <v>Mar</v>
      </c>
      <c r="V141">
        <f>YEAR(Table1[[#This Row],[Order_Date]])</f>
        <v>2025</v>
      </c>
    </row>
    <row r="142" spans="1:22" x14ac:dyDescent="0.35">
      <c r="A142">
        <v>10156</v>
      </c>
      <c r="B142" t="s">
        <v>155</v>
      </c>
      <c r="C142" t="s">
        <v>255</v>
      </c>
      <c r="D142" t="s">
        <v>283</v>
      </c>
      <c r="E142" t="s">
        <v>298</v>
      </c>
      <c r="F142" s="3">
        <v>5</v>
      </c>
      <c r="G142" s="8">
        <v>21537</v>
      </c>
      <c r="H142" s="10">
        <v>0</v>
      </c>
      <c r="I142" s="8">
        <v>0</v>
      </c>
      <c r="J142" s="8">
        <v>107685</v>
      </c>
      <c r="K142" s="8">
        <v>65000</v>
      </c>
      <c r="L142" s="8">
        <v>42685</v>
      </c>
      <c r="M142" s="4">
        <v>45720</v>
      </c>
      <c r="N142" s="4">
        <v>45722</v>
      </c>
      <c r="O142" t="s">
        <v>300</v>
      </c>
      <c r="P142" t="s">
        <v>309</v>
      </c>
      <c r="Q142" s="2" t="s">
        <v>311</v>
      </c>
      <c r="R142" t="s">
        <v>317</v>
      </c>
      <c r="S142" t="s">
        <v>321</v>
      </c>
      <c r="T142" t="str">
        <f>TEXT(Table1[[#This Row],[Order_Date]],"ddd")</f>
        <v>Tue</v>
      </c>
      <c r="U142" t="str">
        <f>TEXT(Table1[[#This Row],[Order_Date]], "mmm")</f>
        <v>Mar</v>
      </c>
      <c r="V142">
        <f>YEAR(Table1[[#This Row],[Order_Date]])</f>
        <v>2025</v>
      </c>
    </row>
    <row r="143" spans="1:22" x14ac:dyDescent="0.35">
      <c r="A143">
        <v>10055</v>
      </c>
      <c r="B143" t="s">
        <v>156</v>
      </c>
      <c r="C143" t="s">
        <v>265</v>
      </c>
      <c r="D143" t="s">
        <v>292</v>
      </c>
      <c r="E143" t="s">
        <v>296</v>
      </c>
      <c r="F143" s="3">
        <v>5</v>
      </c>
      <c r="G143" s="8">
        <v>185548</v>
      </c>
      <c r="H143" s="10">
        <v>10</v>
      </c>
      <c r="I143" s="8">
        <v>92774</v>
      </c>
      <c r="J143" s="8">
        <v>834966</v>
      </c>
      <c r="K143" s="8">
        <v>650000</v>
      </c>
      <c r="L143" s="8">
        <v>277740</v>
      </c>
      <c r="M143" s="4">
        <v>45720</v>
      </c>
      <c r="N143" s="4">
        <v>45724</v>
      </c>
      <c r="O143" t="s">
        <v>299</v>
      </c>
      <c r="P143" t="s">
        <v>306</v>
      </c>
      <c r="Q143" s="2" t="s">
        <v>311</v>
      </c>
      <c r="R143" t="s">
        <v>318</v>
      </c>
      <c r="S143" t="s">
        <v>322</v>
      </c>
      <c r="T143" t="str">
        <f>TEXT(Table1[[#This Row],[Order_Date]],"ddd")</f>
        <v>Tue</v>
      </c>
      <c r="U143" t="str">
        <f>TEXT(Table1[[#This Row],[Order_Date]], "mmm")</f>
        <v>Mar</v>
      </c>
      <c r="V143">
        <f>YEAR(Table1[[#This Row],[Order_Date]])</f>
        <v>2025</v>
      </c>
    </row>
    <row r="144" spans="1:22" x14ac:dyDescent="0.35">
      <c r="A144">
        <v>10186</v>
      </c>
      <c r="B144" t="s">
        <v>157</v>
      </c>
      <c r="C144" t="s">
        <v>229</v>
      </c>
      <c r="D144" t="s">
        <v>281</v>
      </c>
      <c r="E144" t="s">
        <v>298</v>
      </c>
      <c r="F144" s="3">
        <v>1</v>
      </c>
      <c r="G144" s="8">
        <v>18325</v>
      </c>
      <c r="H144" s="10">
        <v>10</v>
      </c>
      <c r="I144" s="8">
        <v>1832</v>
      </c>
      <c r="J144" s="8">
        <v>16493</v>
      </c>
      <c r="K144" s="8">
        <v>10000</v>
      </c>
      <c r="L144" s="8">
        <v>8325</v>
      </c>
      <c r="M144" s="4">
        <v>45722</v>
      </c>
      <c r="N144" s="4">
        <v>45723</v>
      </c>
      <c r="O144" t="s">
        <v>304</v>
      </c>
      <c r="P144" t="s">
        <v>309</v>
      </c>
      <c r="Q144" s="2" t="s">
        <v>313</v>
      </c>
      <c r="R144" t="s">
        <v>317</v>
      </c>
      <c r="S144" t="s">
        <v>322</v>
      </c>
      <c r="T144" t="str">
        <f>TEXT(Table1[[#This Row],[Order_Date]],"ddd")</f>
        <v>Thu</v>
      </c>
      <c r="U144" t="str">
        <f>TEXT(Table1[[#This Row],[Order_Date]], "mmm")</f>
        <v>Mar</v>
      </c>
      <c r="V144">
        <f>YEAR(Table1[[#This Row],[Order_Date]])</f>
        <v>2025</v>
      </c>
    </row>
    <row r="145" spans="1:22" x14ac:dyDescent="0.35">
      <c r="A145">
        <v>10150</v>
      </c>
      <c r="B145" t="s">
        <v>158</v>
      </c>
      <c r="C145" t="s">
        <v>224</v>
      </c>
      <c r="D145" t="s">
        <v>279</v>
      </c>
      <c r="E145" t="s">
        <v>297</v>
      </c>
      <c r="F145" s="3">
        <v>2</v>
      </c>
      <c r="G145" s="8">
        <v>87483</v>
      </c>
      <c r="H145" s="10">
        <v>0</v>
      </c>
      <c r="I145" s="8">
        <v>0</v>
      </c>
      <c r="J145" s="8">
        <v>174966</v>
      </c>
      <c r="K145" s="8">
        <v>110000</v>
      </c>
      <c r="L145" s="8">
        <v>64966</v>
      </c>
      <c r="M145" s="4">
        <v>45723</v>
      </c>
      <c r="N145" s="4">
        <v>45724</v>
      </c>
      <c r="O145" t="s">
        <v>303</v>
      </c>
      <c r="P145" t="s">
        <v>306</v>
      </c>
      <c r="Q145" s="2" t="s">
        <v>312</v>
      </c>
      <c r="R145" t="s">
        <v>318</v>
      </c>
      <c r="S145" t="s">
        <v>324</v>
      </c>
      <c r="T145" t="str">
        <f>TEXT(Table1[[#This Row],[Order_Date]],"ddd")</f>
        <v>Fri</v>
      </c>
      <c r="U145" t="str">
        <f>TEXT(Table1[[#This Row],[Order_Date]], "mmm")</f>
        <v>Mar</v>
      </c>
      <c r="V145">
        <f>YEAR(Table1[[#This Row],[Order_Date]])</f>
        <v>2025</v>
      </c>
    </row>
    <row r="146" spans="1:22" x14ac:dyDescent="0.35">
      <c r="A146">
        <v>10160</v>
      </c>
      <c r="B146" t="s">
        <v>159</v>
      </c>
      <c r="C146" t="s">
        <v>259</v>
      </c>
      <c r="D146" t="s">
        <v>283</v>
      </c>
      <c r="E146" t="s">
        <v>298</v>
      </c>
      <c r="F146" s="3">
        <v>5</v>
      </c>
      <c r="G146" s="8">
        <v>21927</v>
      </c>
      <c r="H146" s="10">
        <v>0</v>
      </c>
      <c r="I146" s="8">
        <v>0</v>
      </c>
      <c r="J146" s="8">
        <v>109635</v>
      </c>
      <c r="K146" s="8">
        <v>65000</v>
      </c>
      <c r="L146" s="8">
        <v>44635</v>
      </c>
      <c r="M146" s="4">
        <v>45724</v>
      </c>
      <c r="N146" s="4">
        <v>45725</v>
      </c>
      <c r="O146" t="s">
        <v>301</v>
      </c>
      <c r="P146" t="s">
        <v>309</v>
      </c>
      <c r="Q146" s="2" t="s">
        <v>312</v>
      </c>
      <c r="R146" t="s">
        <v>317</v>
      </c>
      <c r="S146" t="s">
        <v>322</v>
      </c>
      <c r="T146" t="str">
        <f>TEXT(Table1[[#This Row],[Order_Date]],"ddd")</f>
        <v>Sat</v>
      </c>
      <c r="U146" t="str">
        <f>TEXT(Table1[[#This Row],[Order_Date]], "mmm")</f>
        <v>Mar</v>
      </c>
      <c r="V146">
        <f>YEAR(Table1[[#This Row],[Order_Date]])</f>
        <v>2025</v>
      </c>
    </row>
    <row r="147" spans="1:22" x14ac:dyDescent="0.35">
      <c r="A147">
        <v>10076</v>
      </c>
      <c r="B147" t="s">
        <v>160</v>
      </c>
      <c r="C147" t="s">
        <v>242</v>
      </c>
      <c r="D147" t="s">
        <v>281</v>
      </c>
      <c r="E147" t="s">
        <v>298</v>
      </c>
      <c r="F147" s="3">
        <v>1</v>
      </c>
      <c r="G147" s="8">
        <v>18266</v>
      </c>
      <c r="H147" s="10">
        <v>0</v>
      </c>
      <c r="I147" s="8">
        <v>0</v>
      </c>
      <c r="J147" s="8">
        <v>18266</v>
      </c>
      <c r="K147" s="8">
        <v>10000</v>
      </c>
      <c r="L147" s="8">
        <v>8266</v>
      </c>
      <c r="M147" s="4">
        <v>45724</v>
      </c>
      <c r="N147" s="4">
        <v>45727</v>
      </c>
      <c r="O147" t="s">
        <v>304</v>
      </c>
      <c r="P147" t="s">
        <v>309</v>
      </c>
      <c r="Q147" s="2" t="s">
        <v>310</v>
      </c>
      <c r="R147" t="s">
        <v>319</v>
      </c>
      <c r="S147" t="s">
        <v>324</v>
      </c>
      <c r="T147" t="str">
        <f>TEXT(Table1[[#This Row],[Order_Date]],"ddd")</f>
        <v>Sat</v>
      </c>
      <c r="U147" t="str">
        <f>TEXT(Table1[[#This Row],[Order_Date]], "mmm")</f>
        <v>Mar</v>
      </c>
      <c r="V147">
        <f>YEAR(Table1[[#This Row],[Order_Date]])</f>
        <v>2025</v>
      </c>
    </row>
    <row r="148" spans="1:22" x14ac:dyDescent="0.35">
      <c r="A148">
        <v>10011</v>
      </c>
      <c r="B148" t="s">
        <v>161</v>
      </c>
      <c r="C148" t="s">
        <v>263</v>
      </c>
      <c r="D148" t="s">
        <v>274</v>
      </c>
      <c r="E148" t="s">
        <v>294</v>
      </c>
      <c r="F148" s="3">
        <v>4</v>
      </c>
      <c r="G148" s="8">
        <v>137797</v>
      </c>
      <c r="H148" s="10">
        <v>0</v>
      </c>
      <c r="I148" s="8">
        <v>0</v>
      </c>
      <c r="J148" s="8">
        <v>551188</v>
      </c>
      <c r="K148" s="8">
        <v>420000</v>
      </c>
      <c r="L148" s="8">
        <v>131188</v>
      </c>
      <c r="M148" s="4">
        <v>45725</v>
      </c>
      <c r="N148" s="4">
        <v>45727</v>
      </c>
      <c r="O148" t="s">
        <v>304</v>
      </c>
      <c r="P148" t="s">
        <v>307</v>
      </c>
      <c r="Q148" s="2" t="s">
        <v>311</v>
      </c>
      <c r="R148" t="s">
        <v>316</v>
      </c>
      <c r="S148" t="s">
        <v>322</v>
      </c>
      <c r="T148" t="str">
        <f>TEXT(Table1[[#This Row],[Order_Date]],"ddd")</f>
        <v>Sun</v>
      </c>
      <c r="U148" t="str">
        <f>TEXT(Table1[[#This Row],[Order_Date]], "mmm")</f>
        <v>Mar</v>
      </c>
      <c r="V148">
        <f>YEAR(Table1[[#This Row],[Order_Date]])</f>
        <v>2025</v>
      </c>
    </row>
    <row r="149" spans="1:22" x14ac:dyDescent="0.35">
      <c r="A149">
        <v>10114</v>
      </c>
      <c r="B149" t="s">
        <v>53</v>
      </c>
      <c r="C149" t="s">
        <v>221</v>
      </c>
      <c r="D149" t="s">
        <v>274</v>
      </c>
      <c r="E149" t="s">
        <v>294</v>
      </c>
      <c r="F149" s="3">
        <v>2</v>
      </c>
      <c r="G149" s="8">
        <v>143263</v>
      </c>
      <c r="H149" s="10">
        <v>0</v>
      </c>
      <c r="I149" s="8">
        <v>0</v>
      </c>
      <c r="J149" s="8">
        <v>286526</v>
      </c>
      <c r="K149" s="8">
        <v>210000</v>
      </c>
      <c r="L149" s="8">
        <v>76526</v>
      </c>
      <c r="M149" s="4">
        <v>45725</v>
      </c>
      <c r="N149" s="4">
        <v>45730</v>
      </c>
      <c r="O149" t="s">
        <v>300</v>
      </c>
      <c r="P149" t="s">
        <v>309</v>
      </c>
      <c r="Q149" s="2" t="s">
        <v>313</v>
      </c>
      <c r="R149" t="s">
        <v>319</v>
      </c>
      <c r="S149" t="s">
        <v>321</v>
      </c>
      <c r="T149" t="str">
        <f>TEXT(Table1[[#This Row],[Order_Date]],"ddd")</f>
        <v>Sun</v>
      </c>
      <c r="U149" t="str">
        <f>TEXT(Table1[[#This Row],[Order_Date]], "mmm")</f>
        <v>Mar</v>
      </c>
      <c r="V149">
        <f>YEAR(Table1[[#This Row],[Order_Date]])</f>
        <v>2025</v>
      </c>
    </row>
    <row r="150" spans="1:22" x14ac:dyDescent="0.35">
      <c r="A150">
        <v>10185</v>
      </c>
      <c r="B150" t="s">
        <v>162</v>
      </c>
      <c r="C150" t="s">
        <v>261</v>
      </c>
      <c r="D150" t="s">
        <v>276</v>
      </c>
      <c r="E150" t="s">
        <v>294</v>
      </c>
      <c r="F150" s="3">
        <v>5</v>
      </c>
      <c r="G150" s="8">
        <v>692079</v>
      </c>
      <c r="H150" s="10">
        <v>10</v>
      </c>
      <c r="I150" s="8">
        <v>346040</v>
      </c>
      <c r="J150" s="8">
        <v>3114355</v>
      </c>
      <c r="K150" s="8">
        <v>2750000</v>
      </c>
      <c r="L150" s="8">
        <v>710395</v>
      </c>
      <c r="M150" s="4">
        <v>45726</v>
      </c>
      <c r="N150" s="4">
        <v>45728</v>
      </c>
      <c r="O150" t="s">
        <v>304</v>
      </c>
      <c r="P150" t="s">
        <v>307</v>
      </c>
      <c r="Q150" s="2" t="s">
        <v>314</v>
      </c>
      <c r="R150" t="s">
        <v>318</v>
      </c>
      <c r="S150" t="s">
        <v>320</v>
      </c>
      <c r="T150" t="str">
        <f>TEXT(Table1[[#This Row],[Order_Date]],"ddd")</f>
        <v>Mon</v>
      </c>
      <c r="U150" t="str">
        <f>TEXT(Table1[[#This Row],[Order_Date]], "mmm")</f>
        <v>Mar</v>
      </c>
      <c r="V150">
        <f>YEAR(Table1[[#This Row],[Order_Date]])</f>
        <v>2025</v>
      </c>
    </row>
    <row r="151" spans="1:22" x14ac:dyDescent="0.35">
      <c r="A151">
        <v>10077</v>
      </c>
      <c r="B151" t="s">
        <v>163</v>
      </c>
      <c r="C151" t="s">
        <v>247</v>
      </c>
      <c r="D151" t="s">
        <v>293</v>
      </c>
      <c r="E151" t="s">
        <v>295</v>
      </c>
      <c r="F151" s="3">
        <v>2</v>
      </c>
      <c r="G151" s="8">
        <v>11860</v>
      </c>
      <c r="H151" s="10">
        <v>10</v>
      </c>
      <c r="I151" s="8">
        <v>2372</v>
      </c>
      <c r="J151" s="8">
        <v>21348</v>
      </c>
      <c r="K151" s="8">
        <v>14000</v>
      </c>
      <c r="L151" s="8">
        <v>9720</v>
      </c>
      <c r="M151" s="4">
        <v>45727</v>
      </c>
      <c r="N151" s="4">
        <v>45729</v>
      </c>
      <c r="O151" t="s">
        <v>300</v>
      </c>
      <c r="P151" t="s">
        <v>309</v>
      </c>
      <c r="Q151" s="2" t="s">
        <v>311</v>
      </c>
      <c r="R151" t="s">
        <v>316</v>
      </c>
      <c r="S151" t="s">
        <v>320</v>
      </c>
      <c r="T151" t="str">
        <f>TEXT(Table1[[#This Row],[Order_Date]],"ddd")</f>
        <v>Tue</v>
      </c>
      <c r="U151" t="str">
        <f>TEXT(Table1[[#This Row],[Order_Date]], "mmm")</f>
        <v>Mar</v>
      </c>
      <c r="V151">
        <f>YEAR(Table1[[#This Row],[Order_Date]])</f>
        <v>2025</v>
      </c>
    </row>
    <row r="152" spans="1:22" x14ac:dyDescent="0.35">
      <c r="A152">
        <v>10165</v>
      </c>
      <c r="B152" t="s">
        <v>164</v>
      </c>
      <c r="C152" t="s">
        <v>225</v>
      </c>
      <c r="D152" t="s">
        <v>283</v>
      </c>
      <c r="E152" t="s">
        <v>298</v>
      </c>
      <c r="F152" s="3">
        <v>5</v>
      </c>
      <c r="G152" s="8">
        <v>21905</v>
      </c>
      <c r="H152" s="10">
        <v>10</v>
      </c>
      <c r="I152" s="8">
        <v>10952</v>
      </c>
      <c r="J152" s="8">
        <v>98573</v>
      </c>
      <c r="K152" s="8">
        <v>65000</v>
      </c>
      <c r="L152" s="8">
        <v>44525</v>
      </c>
      <c r="M152" s="4">
        <v>45728</v>
      </c>
      <c r="N152" s="4">
        <v>45730</v>
      </c>
      <c r="O152" t="s">
        <v>303</v>
      </c>
      <c r="P152" t="s">
        <v>307</v>
      </c>
      <c r="Q152" s="2" t="s">
        <v>311</v>
      </c>
      <c r="R152" t="s">
        <v>318</v>
      </c>
      <c r="S152" t="s">
        <v>324</v>
      </c>
      <c r="T152" t="str">
        <f>TEXT(Table1[[#This Row],[Order_Date]],"ddd")</f>
        <v>Wed</v>
      </c>
      <c r="U152" t="str">
        <f>TEXT(Table1[[#This Row],[Order_Date]], "mmm")</f>
        <v>Mar</v>
      </c>
      <c r="V152">
        <f>YEAR(Table1[[#This Row],[Order_Date]])</f>
        <v>2025</v>
      </c>
    </row>
    <row r="153" spans="1:22" x14ac:dyDescent="0.35">
      <c r="A153">
        <v>10170</v>
      </c>
      <c r="B153" t="s">
        <v>165</v>
      </c>
      <c r="C153" t="s">
        <v>267</v>
      </c>
      <c r="D153" t="s">
        <v>293</v>
      </c>
      <c r="E153" t="s">
        <v>295</v>
      </c>
      <c r="F153" s="3">
        <v>3</v>
      </c>
      <c r="G153" s="8">
        <v>12598</v>
      </c>
      <c r="H153" s="10">
        <v>5</v>
      </c>
      <c r="I153" s="8">
        <v>1890</v>
      </c>
      <c r="J153" s="8">
        <v>35904</v>
      </c>
      <c r="K153" s="8">
        <v>21000</v>
      </c>
      <c r="L153" s="8">
        <v>16794</v>
      </c>
      <c r="M153" s="4">
        <v>45731</v>
      </c>
      <c r="N153" s="4">
        <v>45735</v>
      </c>
      <c r="O153" t="s">
        <v>303</v>
      </c>
      <c r="P153" t="s">
        <v>306</v>
      </c>
      <c r="Q153" s="2" t="s">
        <v>310</v>
      </c>
      <c r="R153" t="s">
        <v>315</v>
      </c>
      <c r="S153" t="s">
        <v>323</v>
      </c>
      <c r="T153" t="str">
        <f>TEXT(Table1[[#This Row],[Order_Date]],"ddd")</f>
        <v>Sat</v>
      </c>
      <c r="U153" t="str">
        <f>TEXT(Table1[[#This Row],[Order_Date]], "mmm")</f>
        <v>Mar</v>
      </c>
      <c r="V153">
        <f>YEAR(Table1[[#This Row],[Order_Date]])</f>
        <v>2025</v>
      </c>
    </row>
    <row r="154" spans="1:22" x14ac:dyDescent="0.35">
      <c r="A154">
        <v>10195</v>
      </c>
      <c r="B154" t="s">
        <v>166</v>
      </c>
      <c r="C154" t="s">
        <v>238</v>
      </c>
      <c r="D154" t="s">
        <v>275</v>
      </c>
      <c r="E154" t="s">
        <v>294</v>
      </c>
      <c r="F154" s="3">
        <v>3</v>
      </c>
      <c r="G154" s="8">
        <v>991951</v>
      </c>
      <c r="H154" s="10">
        <v>5</v>
      </c>
      <c r="I154" s="8">
        <v>148793</v>
      </c>
      <c r="J154" s="8">
        <v>2827060</v>
      </c>
      <c r="K154" s="8">
        <v>2250000</v>
      </c>
      <c r="L154" s="8">
        <v>725853</v>
      </c>
      <c r="M154" s="4">
        <v>45731</v>
      </c>
      <c r="N154" s="4">
        <v>45734</v>
      </c>
      <c r="O154" t="s">
        <v>305</v>
      </c>
      <c r="P154" t="s">
        <v>307</v>
      </c>
      <c r="Q154" s="2" t="s">
        <v>310</v>
      </c>
      <c r="R154" t="s">
        <v>317</v>
      </c>
      <c r="S154" t="s">
        <v>320</v>
      </c>
      <c r="T154" t="str">
        <f>TEXT(Table1[[#This Row],[Order_Date]],"ddd")</f>
        <v>Sat</v>
      </c>
      <c r="U154" t="str">
        <f>TEXT(Table1[[#This Row],[Order_Date]], "mmm")</f>
        <v>Mar</v>
      </c>
      <c r="V154">
        <f>YEAR(Table1[[#This Row],[Order_Date]])</f>
        <v>2025</v>
      </c>
    </row>
    <row r="155" spans="1:22" x14ac:dyDescent="0.35">
      <c r="A155">
        <v>10100</v>
      </c>
      <c r="B155" t="s">
        <v>167</v>
      </c>
      <c r="C155" t="s">
        <v>228</v>
      </c>
      <c r="D155" t="s">
        <v>274</v>
      </c>
      <c r="E155" t="s">
        <v>294</v>
      </c>
      <c r="F155" s="3">
        <v>3</v>
      </c>
      <c r="G155" s="8">
        <v>138510</v>
      </c>
      <c r="H155" s="10">
        <v>5</v>
      </c>
      <c r="I155" s="8">
        <v>20776</v>
      </c>
      <c r="J155" s="8">
        <v>394754</v>
      </c>
      <c r="K155" s="8">
        <v>315000</v>
      </c>
      <c r="L155" s="8">
        <v>100530</v>
      </c>
      <c r="M155" s="4">
        <v>45731</v>
      </c>
      <c r="N155" s="4">
        <v>45732</v>
      </c>
      <c r="O155" t="s">
        <v>305</v>
      </c>
      <c r="P155" t="s">
        <v>309</v>
      </c>
      <c r="Q155" s="2" t="s">
        <v>310</v>
      </c>
      <c r="R155" t="s">
        <v>316</v>
      </c>
      <c r="S155" t="s">
        <v>320</v>
      </c>
      <c r="T155" t="str">
        <f>TEXT(Table1[[#This Row],[Order_Date]],"ddd")</f>
        <v>Sat</v>
      </c>
      <c r="U155" t="str">
        <f>TEXT(Table1[[#This Row],[Order_Date]], "mmm")</f>
        <v>Mar</v>
      </c>
      <c r="V155">
        <f>YEAR(Table1[[#This Row],[Order_Date]])</f>
        <v>2025</v>
      </c>
    </row>
    <row r="156" spans="1:22" x14ac:dyDescent="0.35">
      <c r="A156">
        <v>10137</v>
      </c>
      <c r="B156" t="s">
        <v>168</v>
      </c>
      <c r="C156" t="s">
        <v>255</v>
      </c>
      <c r="D156" t="s">
        <v>276</v>
      </c>
      <c r="E156" t="s">
        <v>294</v>
      </c>
      <c r="F156" s="3">
        <v>5</v>
      </c>
      <c r="G156" s="8">
        <v>754175</v>
      </c>
      <c r="H156" s="10">
        <v>0</v>
      </c>
      <c r="I156" s="8">
        <v>0</v>
      </c>
      <c r="J156" s="8">
        <v>3770875</v>
      </c>
      <c r="K156" s="8">
        <v>2750000</v>
      </c>
      <c r="L156" s="8">
        <v>1020875</v>
      </c>
      <c r="M156" s="4">
        <v>45731</v>
      </c>
      <c r="N156" s="4">
        <v>45736</v>
      </c>
      <c r="O156" t="s">
        <v>304</v>
      </c>
      <c r="P156" t="s">
        <v>308</v>
      </c>
      <c r="Q156" s="2" t="s">
        <v>312</v>
      </c>
      <c r="R156" t="s">
        <v>318</v>
      </c>
      <c r="S156" t="s">
        <v>324</v>
      </c>
      <c r="T156" t="str">
        <f>TEXT(Table1[[#This Row],[Order_Date]],"ddd")</f>
        <v>Sat</v>
      </c>
      <c r="U156" t="str">
        <f>TEXT(Table1[[#This Row],[Order_Date]], "mmm")</f>
        <v>Mar</v>
      </c>
      <c r="V156">
        <f>YEAR(Table1[[#This Row],[Order_Date]])</f>
        <v>2025</v>
      </c>
    </row>
    <row r="157" spans="1:22" x14ac:dyDescent="0.35">
      <c r="A157">
        <v>10130</v>
      </c>
      <c r="B157" t="s">
        <v>169</v>
      </c>
      <c r="C157" t="s">
        <v>268</v>
      </c>
      <c r="D157" t="s">
        <v>281</v>
      </c>
      <c r="E157" t="s">
        <v>298</v>
      </c>
      <c r="F157" s="3">
        <v>3</v>
      </c>
      <c r="G157" s="8">
        <v>18501</v>
      </c>
      <c r="H157" s="10">
        <v>10</v>
      </c>
      <c r="I157" s="8">
        <v>5550</v>
      </c>
      <c r="J157" s="8">
        <v>49953</v>
      </c>
      <c r="K157" s="8">
        <v>30000</v>
      </c>
      <c r="L157" s="8">
        <v>25503</v>
      </c>
      <c r="M157" s="4">
        <v>45732</v>
      </c>
      <c r="N157" s="4">
        <v>45736</v>
      </c>
      <c r="O157" t="s">
        <v>302</v>
      </c>
      <c r="P157" t="s">
        <v>307</v>
      </c>
      <c r="Q157" s="2" t="s">
        <v>312</v>
      </c>
      <c r="R157" t="s">
        <v>315</v>
      </c>
      <c r="S157" t="s">
        <v>320</v>
      </c>
      <c r="T157" t="str">
        <f>TEXT(Table1[[#This Row],[Order_Date]],"ddd")</f>
        <v>Sun</v>
      </c>
      <c r="U157" t="str">
        <f>TEXT(Table1[[#This Row],[Order_Date]], "mmm")</f>
        <v>Mar</v>
      </c>
      <c r="V157">
        <f>YEAR(Table1[[#This Row],[Order_Date]])</f>
        <v>2025</v>
      </c>
    </row>
    <row r="158" spans="1:22" x14ac:dyDescent="0.35">
      <c r="A158">
        <v>10190</v>
      </c>
      <c r="B158" t="s">
        <v>170</v>
      </c>
      <c r="C158" t="s">
        <v>225</v>
      </c>
      <c r="D158" t="s">
        <v>279</v>
      </c>
      <c r="E158" t="s">
        <v>297</v>
      </c>
      <c r="F158" s="3">
        <v>2</v>
      </c>
      <c r="G158" s="8">
        <v>89189</v>
      </c>
      <c r="H158" s="10">
        <v>5</v>
      </c>
      <c r="I158" s="8">
        <v>8919</v>
      </c>
      <c r="J158" s="8">
        <v>169459</v>
      </c>
      <c r="K158" s="8">
        <v>110000</v>
      </c>
      <c r="L158" s="8">
        <v>68378</v>
      </c>
      <c r="M158" s="4">
        <v>45732</v>
      </c>
      <c r="N158" s="4">
        <v>45734</v>
      </c>
      <c r="O158" t="s">
        <v>305</v>
      </c>
      <c r="P158" t="s">
        <v>308</v>
      </c>
      <c r="Q158" s="2" t="s">
        <v>313</v>
      </c>
      <c r="R158" t="s">
        <v>315</v>
      </c>
      <c r="S158" t="s">
        <v>320</v>
      </c>
      <c r="T158" t="str">
        <f>TEXT(Table1[[#This Row],[Order_Date]],"ddd")</f>
        <v>Sun</v>
      </c>
      <c r="U158" t="str">
        <f>TEXT(Table1[[#This Row],[Order_Date]], "mmm")</f>
        <v>Mar</v>
      </c>
      <c r="V158">
        <f>YEAR(Table1[[#This Row],[Order_Date]])</f>
        <v>2025</v>
      </c>
    </row>
    <row r="159" spans="1:22" x14ac:dyDescent="0.35">
      <c r="A159">
        <v>10166</v>
      </c>
      <c r="B159" t="s">
        <v>171</v>
      </c>
      <c r="C159" t="s">
        <v>269</v>
      </c>
      <c r="D159" t="s">
        <v>286</v>
      </c>
      <c r="E159" t="s">
        <v>296</v>
      </c>
      <c r="F159" s="3">
        <v>3</v>
      </c>
      <c r="G159" s="8">
        <v>18013</v>
      </c>
      <c r="H159" s="10">
        <v>10</v>
      </c>
      <c r="I159" s="8">
        <v>5404</v>
      </c>
      <c r="J159" s="8">
        <v>48635</v>
      </c>
      <c r="K159" s="8">
        <v>30000</v>
      </c>
      <c r="L159" s="8">
        <v>24039</v>
      </c>
      <c r="M159" s="4">
        <v>45733</v>
      </c>
      <c r="N159" s="4">
        <v>45737</v>
      </c>
      <c r="O159" t="s">
        <v>305</v>
      </c>
      <c r="P159" t="s">
        <v>309</v>
      </c>
      <c r="Q159" s="2" t="s">
        <v>311</v>
      </c>
      <c r="R159" t="s">
        <v>318</v>
      </c>
      <c r="S159" t="s">
        <v>321</v>
      </c>
      <c r="T159" t="str">
        <f>TEXT(Table1[[#This Row],[Order_Date]],"ddd")</f>
        <v>Mon</v>
      </c>
      <c r="U159" t="str">
        <f>TEXT(Table1[[#This Row],[Order_Date]], "mmm")</f>
        <v>Mar</v>
      </c>
      <c r="V159">
        <f>YEAR(Table1[[#This Row],[Order_Date]])</f>
        <v>2025</v>
      </c>
    </row>
    <row r="160" spans="1:22" x14ac:dyDescent="0.35">
      <c r="A160">
        <v>10008</v>
      </c>
      <c r="B160" t="s">
        <v>172</v>
      </c>
      <c r="C160" t="s">
        <v>215</v>
      </c>
      <c r="D160" t="s">
        <v>288</v>
      </c>
      <c r="E160" t="s">
        <v>297</v>
      </c>
      <c r="F160" s="3">
        <v>3</v>
      </c>
      <c r="G160" s="8">
        <v>115676</v>
      </c>
      <c r="H160" s="10">
        <v>10</v>
      </c>
      <c r="I160" s="8">
        <v>34703</v>
      </c>
      <c r="J160" s="8">
        <v>312325</v>
      </c>
      <c r="K160" s="8">
        <v>240000</v>
      </c>
      <c r="L160" s="8">
        <v>107028</v>
      </c>
      <c r="M160" s="4">
        <v>45734</v>
      </c>
      <c r="N160" s="4">
        <v>45737</v>
      </c>
      <c r="O160" t="s">
        <v>305</v>
      </c>
      <c r="P160" t="s">
        <v>309</v>
      </c>
      <c r="Q160" s="2" t="s">
        <v>310</v>
      </c>
      <c r="R160" t="s">
        <v>318</v>
      </c>
      <c r="S160" t="s">
        <v>320</v>
      </c>
      <c r="T160" t="str">
        <f>TEXT(Table1[[#This Row],[Order_Date]],"ddd")</f>
        <v>Tue</v>
      </c>
      <c r="U160" t="str">
        <f>TEXT(Table1[[#This Row],[Order_Date]], "mmm")</f>
        <v>Mar</v>
      </c>
      <c r="V160">
        <f>YEAR(Table1[[#This Row],[Order_Date]])</f>
        <v>2025</v>
      </c>
    </row>
    <row r="161" spans="1:22" x14ac:dyDescent="0.35">
      <c r="A161">
        <v>10044</v>
      </c>
      <c r="B161" t="s">
        <v>173</v>
      </c>
      <c r="C161" t="s">
        <v>270</v>
      </c>
      <c r="D161" t="s">
        <v>291</v>
      </c>
      <c r="E161" t="s">
        <v>295</v>
      </c>
      <c r="F161" s="3">
        <v>2</v>
      </c>
      <c r="G161" s="8">
        <v>92831</v>
      </c>
      <c r="H161" s="10">
        <v>0</v>
      </c>
      <c r="I161" s="8">
        <v>0</v>
      </c>
      <c r="J161" s="8">
        <v>185662</v>
      </c>
      <c r="K161" s="8">
        <v>130000</v>
      </c>
      <c r="L161" s="8">
        <v>55662</v>
      </c>
      <c r="M161" s="4">
        <v>45735</v>
      </c>
      <c r="N161" s="4">
        <v>45736</v>
      </c>
      <c r="O161" t="s">
        <v>302</v>
      </c>
      <c r="P161" t="s">
        <v>309</v>
      </c>
      <c r="Q161" s="2" t="s">
        <v>314</v>
      </c>
      <c r="R161" t="s">
        <v>315</v>
      </c>
      <c r="S161" t="s">
        <v>322</v>
      </c>
      <c r="T161" t="str">
        <f>TEXT(Table1[[#This Row],[Order_Date]],"ddd")</f>
        <v>Wed</v>
      </c>
      <c r="U161" t="str">
        <f>TEXT(Table1[[#This Row],[Order_Date]], "mmm")</f>
        <v>Mar</v>
      </c>
      <c r="V161">
        <f>YEAR(Table1[[#This Row],[Order_Date]])</f>
        <v>2025</v>
      </c>
    </row>
    <row r="162" spans="1:22" x14ac:dyDescent="0.35">
      <c r="A162">
        <v>10014</v>
      </c>
      <c r="B162" t="s">
        <v>174</v>
      </c>
      <c r="C162" t="s">
        <v>271</v>
      </c>
      <c r="D162" t="s">
        <v>290</v>
      </c>
      <c r="E162" t="s">
        <v>295</v>
      </c>
      <c r="F162" s="3">
        <v>5</v>
      </c>
      <c r="G162" s="8">
        <v>34731</v>
      </c>
      <c r="H162" s="10">
        <v>0</v>
      </c>
      <c r="I162" s="8">
        <v>0</v>
      </c>
      <c r="J162" s="8">
        <v>173655</v>
      </c>
      <c r="K162" s="8">
        <v>110000</v>
      </c>
      <c r="L162" s="8">
        <v>63655</v>
      </c>
      <c r="M162" s="4">
        <v>45735</v>
      </c>
      <c r="N162" s="4">
        <v>45737</v>
      </c>
      <c r="O162" t="s">
        <v>305</v>
      </c>
      <c r="P162" t="s">
        <v>306</v>
      </c>
      <c r="Q162" s="2" t="s">
        <v>310</v>
      </c>
      <c r="R162" t="s">
        <v>319</v>
      </c>
      <c r="S162" t="s">
        <v>324</v>
      </c>
      <c r="T162" t="str">
        <f>TEXT(Table1[[#This Row],[Order_Date]],"ddd")</f>
        <v>Wed</v>
      </c>
      <c r="U162" t="str">
        <f>TEXT(Table1[[#This Row],[Order_Date]], "mmm")</f>
        <v>Mar</v>
      </c>
      <c r="V162">
        <f>YEAR(Table1[[#This Row],[Order_Date]])</f>
        <v>2025</v>
      </c>
    </row>
    <row r="163" spans="1:22" x14ac:dyDescent="0.35">
      <c r="A163">
        <v>10149</v>
      </c>
      <c r="B163" t="s">
        <v>175</v>
      </c>
      <c r="C163" t="s">
        <v>227</v>
      </c>
      <c r="D163" t="s">
        <v>276</v>
      </c>
      <c r="E163" t="s">
        <v>294</v>
      </c>
      <c r="F163" s="3">
        <v>3</v>
      </c>
      <c r="G163" s="8">
        <v>732084</v>
      </c>
      <c r="H163" s="10">
        <v>0</v>
      </c>
      <c r="I163" s="8">
        <v>0</v>
      </c>
      <c r="J163" s="8">
        <v>2196252</v>
      </c>
      <c r="K163" s="8">
        <v>1650000</v>
      </c>
      <c r="L163" s="8">
        <v>546252</v>
      </c>
      <c r="M163" s="4">
        <v>45737</v>
      </c>
      <c r="N163" s="4">
        <v>45742</v>
      </c>
      <c r="O163" t="s">
        <v>303</v>
      </c>
      <c r="P163" t="s">
        <v>307</v>
      </c>
      <c r="Q163" s="2" t="s">
        <v>314</v>
      </c>
      <c r="R163" t="s">
        <v>319</v>
      </c>
      <c r="S163" t="s">
        <v>320</v>
      </c>
      <c r="T163" t="str">
        <f>TEXT(Table1[[#This Row],[Order_Date]],"ddd")</f>
        <v>Fri</v>
      </c>
      <c r="U163" t="str">
        <f>TEXT(Table1[[#This Row],[Order_Date]], "mmm")</f>
        <v>Mar</v>
      </c>
      <c r="V163">
        <f>YEAR(Table1[[#This Row],[Order_Date]])</f>
        <v>2025</v>
      </c>
    </row>
    <row r="164" spans="1:22" x14ac:dyDescent="0.35">
      <c r="A164">
        <v>10027</v>
      </c>
      <c r="B164" t="s">
        <v>176</v>
      </c>
      <c r="C164" t="s">
        <v>272</v>
      </c>
      <c r="D164" t="s">
        <v>288</v>
      </c>
      <c r="E164" t="s">
        <v>297</v>
      </c>
      <c r="F164" s="3">
        <v>3</v>
      </c>
      <c r="G164" s="8">
        <v>115385</v>
      </c>
      <c r="H164" s="10">
        <v>0</v>
      </c>
      <c r="I164" s="8">
        <v>0</v>
      </c>
      <c r="J164" s="8">
        <v>346155</v>
      </c>
      <c r="K164" s="8">
        <v>240000</v>
      </c>
      <c r="L164" s="8">
        <v>106155</v>
      </c>
      <c r="M164" s="4">
        <v>45738</v>
      </c>
      <c r="N164" s="4">
        <v>45740</v>
      </c>
      <c r="O164" t="s">
        <v>303</v>
      </c>
      <c r="P164" t="s">
        <v>307</v>
      </c>
      <c r="Q164" s="2" t="s">
        <v>312</v>
      </c>
      <c r="R164" t="s">
        <v>319</v>
      </c>
      <c r="S164" t="s">
        <v>320</v>
      </c>
      <c r="T164" t="str">
        <f>TEXT(Table1[[#This Row],[Order_Date]],"ddd")</f>
        <v>Sat</v>
      </c>
      <c r="U164" t="str">
        <f>TEXT(Table1[[#This Row],[Order_Date]], "mmm")</f>
        <v>Mar</v>
      </c>
      <c r="V164">
        <f>YEAR(Table1[[#This Row],[Order_Date]])</f>
        <v>2025</v>
      </c>
    </row>
    <row r="165" spans="1:22" x14ac:dyDescent="0.35">
      <c r="A165">
        <v>10106</v>
      </c>
      <c r="B165" t="s">
        <v>177</v>
      </c>
      <c r="C165" t="s">
        <v>221</v>
      </c>
      <c r="D165" t="s">
        <v>288</v>
      </c>
      <c r="E165" t="s">
        <v>297</v>
      </c>
      <c r="F165" s="3">
        <v>5</v>
      </c>
      <c r="G165" s="8">
        <v>114720</v>
      </c>
      <c r="H165" s="10">
        <v>10</v>
      </c>
      <c r="I165" s="8">
        <v>57360</v>
      </c>
      <c r="J165" s="8">
        <v>516240</v>
      </c>
      <c r="K165" s="8">
        <v>400000</v>
      </c>
      <c r="L165" s="8">
        <v>173600</v>
      </c>
      <c r="M165" s="4">
        <v>45740</v>
      </c>
      <c r="N165" s="4">
        <v>45743</v>
      </c>
      <c r="O165" t="s">
        <v>305</v>
      </c>
      <c r="P165" t="s">
        <v>306</v>
      </c>
      <c r="Q165" s="2" t="s">
        <v>310</v>
      </c>
      <c r="R165" t="s">
        <v>316</v>
      </c>
      <c r="S165" t="s">
        <v>324</v>
      </c>
      <c r="T165" t="str">
        <f>TEXT(Table1[[#This Row],[Order_Date]],"ddd")</f>
        <v>Mon</v>
      </c>
      <c r="U165" t="str">
        <f>TEXT(Table1[[#This Row],[Order_Date]], "mmm")</f>
        <v>Mar</v>
      </c>
      <c r="V165">
        <f>YEAR(Table1[[#This Row],[Order_Date]])</f>
        <v>2025</v>
      </c>
    </row>
    <row r="166" spans="1:22" x14ac:dyDescent="0.35">
      <c r="A166">
        <v>10108</v>
      </c>
      <c r="B166" t="s">
        <v>178</v>
      </c>
      <c r="C166" t="s">
        <v>253</v>
      </c>
      <c r="D166" t="s">
        <v>279</v>
      </c>
      <c r="E166" t="s">
        <v>297</v>
      </c>
      <c r="F166" s="3">
        <v>3</v>
      </c>
      <c r="G166" s="8">
        <v>85630</v>
      </c>
      <c r="H166" s="10">
        <v>5</v>
      </c>
      <c r="I166" s="8">
        <v>12844</v>
      </c>
      <c r="J166" s="8">
        <v>244046</v>
      </c>
      <c r="K166" s="8">
        <v>165000</v>
      </c>
      <c r="L166" s="8">
        <v>91890</v>
      </c>
      <c r="M166" s="4">
        <v>45740</v>
      </c>
      <c r="N166" s="4">
        <v>45745</v>
      </c>
      <c r="O166" t="s">
        <v>304</v>
      </c>
      <c r="P166" t="s">
        <v>306</v>
      </c>
      <c r="Q166" s="2" t="s">
        <v>313</v>
      </c>
      <c r="R166" t="s">
        <v>318</v>
      </c>
      <c r="S166" t="s">
        <v>321</v>
      </c>
      <c r="T166" t="str">
        <f>TEXT(Table1[[#This Row],[Order_Date]],"ddd")</f>
        <v>Mon</v>
      </c>
      <c r="U166" t="str">
        <f>TEXT(Table1[[#This Row],[Order_Date]], "mmm")</f>
        <v>Mar</v>
      </c>
      <c r="V166">
        <f>YEAR(Table1[[#This Row],[Order_Date]])</f>
        <v>2025</v>
      </c>
    </row>
    <row r="167" spans="1:22" x14ac:dyDescent="0.35">
      <c r="A167">
        <v>10042</v>
      </c>
      <c r="B167" t="s">
        <v>179</v>
      </c>
      <c r="C167" t="s">
        <v>247</v>
      </c>
      <c r="D167" t="s">
        <v>281</v>
      </c>
      <c r="E167" t="s">
        <v>298</v>
      </c>
      <c r="F167" s="3">
        <v>2</v>
      </c>
      <c r="G167" s="8">
        <v>18543</v>
      </c>
      <c r="H167" s="10">
        <v>10</v>
      </c>
      <c r="I167" s="8">
        <v>3709</v>
      </c>
      <c r="J167" s="8">
        <v>33377</v>
      </c>
      <c r="K167" s="8">
        <v>20000</v>
      </c>
      <c r="L167" s="8">
        <v>17086</v>
      </c>
      <c r="M167" s="4">
        <v>45740</v>
      </c>
      <c r="N167" s="4">
        <v>45745</v>
      </c>
      <c r="O167" t="s">
        <v>303</v>
      </c>
      <c r="P167" t="s">
        <v>309</v>
      </c>
      <c r="Q167" s="2" t="s">
        <v>312</v>
      </c>
      <c r="R167" t="s">
        <v>317</v>
      </c>
      <c r="S167" t="s">
        <v>323</v>
      </c>
      <c r="T167" t="str">
        <f>TEXT(Table1[[#This Row],[Order_Date]],"ddd")</f>
        <v>Mon</v>
      </c>
      <c r="U167" t="str">
        <f>TEXT(Table1[[#This Row],[Order_Date]], "mmm")</f>
        <v>Mar</v>
      </c>
      <c r="V167">
        <f>YEAR(Table1[[#This Row],[Order_Date]])</f>
        <v>2025</v>
      </c>
    </row>
    <row r="168" spans="1:22" x14ac:dyDescent="0.35">
      <c r="A168">
        <v>10056</v>
      </c>
      <c r="B168" t="s">
        <v>180</v>
      </c>
      <c r="C168" t="s">
        <v>252</v>
      </c>
      <c r="D168" t="s">
        <v>292</v>
      </c>
      <c r="E168" t="s">
        <v>296</v>
      </c>
      <c r="F168" s="3">
        <v>4</v>
      </c>
      <c r="G168" s="8">
        <v>175390</v>
      </c>
      <c r="H168" s="10">
        <v>5</v>
      </c>
      <c r="I168" s="8">
        <v>35078</v>
      </c>
      <c r="J168" s="8">
        <v>666482</v>
      </c>
      <c r="K168" s="8">
        <v>520000</v>
      </c>
      <c r="L168" s="8">
        <v>181560</v>
      </c>
      <c r="M168" s="4">
        <v>45742</v>
      </c>
      <c r="N168" s="4">
        <v>45747</v>
      </c>
      <c r="O168" t="s">
        <v>305</v>
      </c>
      <c r="P168" t="s">
        <v>308</v>
      </c>
      <c r="Q168" s="2" t="s">
        <v>311</v>
      </c>
      <c r="R168" t="s">
        <v>317</v>
      </c>
      <c r="S168" t="s">
        <v>324</v>
      </c>
      <c r="T168" t="str">
        <f>TEXT(Table1[[#This Row],[Order_Date]],"ddd")</f>
        <v>Wed</v>
      </c>
      <c r="U168" t="str">
        <f>TEXT(Table1[[#This Row],[Order_Date]], "mmm")</f>
        <v>Mar</v>
      </c>
      <c r="V168">
        <f>YEAR(Table1[[#This Row],[Order_Date]])</f>
        <v>2025</v>
      </c>
    </row>
    <row r="169" spans="1:22" x14ac:dyDescent="0.35">
      <c r="A169">
        <v>10107</v>
      </c>
      <c r="B169" t="s">
        <v>181</v>
      </c>
      <c r="C169" t="s">
        <v>216</v>
      </c>
      <c r="D169" t="s">
        <v>291</v>
      </c>
      <c r="E169" t="s">
        <v>295</v>
      </c>
      <c r="F169" s="3">
        <v>5</v>
      </c>
      <c r="G169" s="8">
        <v>93218</v>
      </c>
      <c r="H169" s="10">
        <v>0</v>
      </c>
      <c r="I169" s="8">
        <v>0</v>
      </c>
      <c r="J169" s="8">
        <v>466090</v>
      </c>
      <c r="K169" s="8">
        <v>325000</v>
      </c>
      <c r="L169" s="8">
        <v>141090</v>
      </c>
      <c r="M169" s="4">
        <v>45744</v>
      </c>
      <c r="N169" s="4">
        <v>45749</v>
      </c>
      <c r="O169" t="s">
        <v>302</v>
      </c>
      <c r="P169" t="s">
        <v>307</v>
      </c>
      <c r="Q169" s="2" t="s">
        <v>310</v>
      </c>
      <c r="R169" t="s">
        <v>315</v>
      </c>
      <c r="S169" t="s">
        <v>321</v>
      </c>
      <c r="T169" t="str">
        <f>TEXT(Table1[[#This Row],[Order_Date]],"ddd")</f>
        <v>Fri</v>
      </c>
      <c r="U169" t="str">
        <f>TEXT(Table1[[#This Row],[Order_Date]], "mmm")</f>
        <v>Mar</v>
      </c>
      <c r="V169">
        <f>YEAR(Table1[[#This Row],[Order_Date]])</f>
        <v>2025</v>
      </c>
    </row>
    <row r="170" spans="1:22" x14ac:dyDescent="0.35">
      <c r="A170">
        <v>10119</v>
      </c>
      <c r="B170" t="s">
        <v>182</v>
      </c>
      <c r="C170" t="s">
        <v>217</v>
      </c>
      <c r="D170" t="s">
        <v>274</v>
      </c>
      <c r="E170" t="s">
        <v>294</v>
      </c>
      <c r="F170" s="3">
        <v>4</v>
      </c>
      <c r="G170" s="8">
        <v>144477</v>
      </c>
      <c r="H170" s="10">
        <v>10</v>
      </c>
      <c r="I170" s="8">
        <v>57791</v>
      </c>
      <c r="J170" s="8">
        <v>520117</v>
      </c>
      <c r="K170" s="8">
        <v>420000</v>
      </c>
      <c r="L170" s="8">
        <v>157908</v>
      </c>
      <c r="M170" s="4">
        <v>45745</v>
      </c>
      <c r="N170" s="4">
        <v>45749</v>
      </c>
      <c r="O170" t="s">
        <v>305</v>
      </c>
      <c r="P170" t="s">
        <v>306</v>
      </c>
      <c r="Q170" s="2" t="s">
        <v>312</v>
      </c>
      <c r="R170" t="s">
        <v>318</v>
      </c>
      <c r="S170" t="s">
        <v>320</v>
      </c>
      <c r="T170" t="str">
        <f>TEXT(Table1[[#This Row],[Order_Date]],"ddd")</f>
        <v>Sat</v>
      </c>
      <c r="U170" t="str">
        <f>TEXT(Table1[[#This Row],[Order_Date]], "mmm")</f>
        <v>Mar</v>
      </c>
      <c r="V170">
        <f>YEAR(Table1[[#This Row],[Order_Date]])</f>
        <v>2025</v>
      </c>
    </row>
    <row r="171" spans="1:22" x14ac:dyDescent="0.35">
      <c r="A171">
        <v>10078</v>
      </c>
      <c r="B171" t="s">
        <v>183</v>
      </c>
      <c r="C171" t="s">
        <v>249</v>
      </c>
      <c r="D171" t="s">
        <v>292</v>
      </c>
      <c r="E171" t="s">
        <v>296</v>
      </c>
      <c r="F171" s="3">
        <v>1</v>
      </c>
      <c r="G171" s="8">
        <v>176091</v>
      </c>
      <c r="H171" s="10">
        <v>0</v>
      </c>
      <c r="I171" s="8">
        <v>0</v>
      </c>
      <c r="J171" s="8">
        <v>176091</v>
      </c>
      <c r="K171" s="8">
        <v>130000</v>
      </c>
      <c r="L171" s="8">
        <v>46091</v>
      </c>
      <c r="M171" s="4">
        <v>45747</v>
      </c>
      <c r="N171" s="4">
        <v>45752</v>
      </c>
      <c r="O171" t="s">
        <v>305</v>
      </c>
      <c r="P171" t="s">
        <v>309</v>
      </c>
      <c r="Q171" s="2" t="s">
        <v>314</v>
      </c>
      <c r="R171" t="s">
        <v>317</v>
      </c>
      <c r="S171" t="s">
        <v>323</v>
      </c>
      <c r="T171" t="str">
        <f>TEXT(Table1[[#This Row],[Order_Date]],"ddd")</f>
        <v>Mon</v>
      </c>
      <c r="U171" t="str">
        <f>TEXT(Table1[[#This Row],[Order_Date]], "mmm")</f>
        <v>Mar</v>
      </c>
      <c r="V171">
        <f>YEAR(Table1[[#This Row],[Order_Date]])</f>
        <v>2025</v>
      </c>
    </row>
    <row r="172" spans="1:22" x14ac:dyDescent="0.35">
      <c r="A172">
        <v>10061</v>
      </c>
      <c r="B172" t="s">
        <v>184</v>
      </c>
      <c r="C172" t="s">
        <v>237</v>
      </c>
      <c r="D172" t="s">
        <v>292</v>
      </c>
      <c r="E172" t="s">
        <v>296</v>
      </c>
      <c r="F172" s="3">
        <v>5</v>
      </c>
      <c r="G172" s="8">
        <v>188579</v>
      </c>
      <c r="H172" s="10">
        <v>10</v>
      </c>
      <c r="I172" s="8">
        <v>94290</v>
      </c>
      <c r="J172" s="8">
        <v>848605</v>
      </c>
      <c r="K172" s="8">
        <v>650000</v>
      </c>
      <c r="L172" s="8">
        <v>292895</v>
      </c>
      <c r="M172" s="4">
        <v>45749</v>
      </c>
      <c r="N172" s="4">
        <v>45752</v>
      </c>
      <c r="O172" t="s">
        <v>301</v>
      </c>
      <c r="P172" t="s">
        <v>307</v>
      </c>
      <c r="Q172" s="2" t="s">
        <v>311</v>
      </c>
      <c r="R172" t="s">
        <v>315</v>
      </c>
      <c r="S172" t="s">
        <v>320</v>
      </c>
      <c r="T172" t="str">
        <f>TEXT(Table1[[#This Row],[Order_Date]],"ddd")</f>
        <v>Wed</v>
      </c>
      <c r="U172" t="str">
        <f>TEXT(Table1[[#This Row],[Order_Date]], "mmm")</f>
        <v>Apr</v>
      </c>
      <c r="V172">
        <f>YEAR(Table1[[#This Row],[Order_Date]])</f>
        <v>2025</v>
      </c>
    </row>
    <row r="173" spans="1:22" x14ac:dyDescent="0.35">
      <c r="A173">
        <v>10167</v>
      </c>
      <c r="B173" t="s">
        <v>185</v>
      </c>
      <c r="C173" t="s">
        <v>218</v>
      </c>
      <c r="D173" t="s">
        <v>279</v>
      </c>
      <c r="E173" t="s">
        <v>297</v>
      </c>
      <c r="F173" s="3">
        <v>4</v>
      </c>
      <c r="G173" s="8">
        <v>85711</v>
      </c>
      <c r="H173" s="10">
        <v>0</v>
      </c>
      <c r="I173" s="8">
        <v>0</v>
      </c>
      <c r="J173" s="8">
        <v>342844</v>
      </c>
      <c r="K173" s="8">
        <v>220000</v>
      </c>
      <c r="L173" s="8">
        <v>122844</v>
      </c>
      <c r="M173" s="4">
        <v>45749</v>
      </c>
      <c r="N173" s="4">
        <v>45753</v>
      </c>
      <c r="O173" t="s">
        <v>303</v>
      </c>
      <c r="P173" t="s">
        <v>307</v>
      </c>
      <c r="Q173" s="2" t="s">
        <v>312</v>
      </c>
      <c r="R173" t="s">
        <v>318</v>
      </c>
      <c r="S173" t="s">
        <v>321</v>
      </c>
      <c r="T173" t="str">
        <f>TEXT(Table1[[#This Row],[Order_Date]],"ddd")</f>
        <v>Wed</v>
      </c>
      <c r="U173" t="str">
        <f>TEXT(Table1[[#This Row],[Order_Date]], "mmm")</f>
        <v>Apr</v>
      </c>
      <c r="V173">
        <f>YEAR(Table1[[#This Row],[Order_Date]])</f>
        <v>2025</v>
      </c>
    </row>
    <row r="174" spans="1:22" x14ac:dyDescent="0.35">
      <c r="A174">
        <v>10122</v>
      </c>
      <c r="B174" t="s">
        <v>186</v>
      </c>
      <c r="C174" t="s">
        <v>264</v>
      </c>
      <c r="D174" t="s">
        <v>281</v>
      </c>
      <c r="E174" t="s">
        <v>298</v>
      </c>
      <c r="F174" s="3">
        <v>5</v>
      </c>
      <c r="G174" s="8">
        <v>18273</v>
      </c>
      <c r="H174" s="10">
        <v>0</v>
      </c>
      <c r="I174" s="8">
        <v>0</v>
      </c>
      <c r="J174" s="8">
        <v>91365</v>
      </c>
      <c r="K174" s="8">
        <v>50000</v>
      </c>
      <c r="L174" s="8">
        <v>41365</v>
      </c>
      <c r="M174" s="4">
        <v>45751</v>
      </c>
      <c r="N174" s="4">
        <v>45755</v>
      </c>
      <c r="O174" t="s">
        <v>304</v>
      </c>
      <c r="P174" t="s">
        <v>309</v>
      </c>
      <c r="Q174" s="2" t="s">
        <v>313</v>
      </c>
      <c r="R174" t="s">
        <v>315</v>
      </c>
      <c r="S174" t="s">
        <v>321</v>
      </c>
      <c r="T174" t="str">
        <f>TEXT(Table1[[#This Row],[Order_Date]],"ddd")</f>
        <v>Fri</v>
      </c>
      <c r="U174" t="str">
        <f>TEXT(Table1[[#This Row],[Order_Date]], "mmm")</f>
        <v>Apr</v>
      </c>
      <c r="V174">
        <f>YEAR(Table1[[#This Row],[Order_Date]])</f>
        <v>2025</v>
      </c>
    </row>
    <row r="175" spans="1:22" x14ac:dyDescent="0.35">
      <c r="A175">
        <v>10164</v>
      </c>
      <c r="B175" t="s">
        <v>187</v>
      </c>
      <c r="C175" t="s">
        <v>251</v>
      </c>
      <c r="D175" t="s">
        <v>293</v>
      </c>
      <c r="E175" t="s">
        <v>295</v>
      </c>
      <c r="F175" s="3">
        <v>3</v>
      </c>
      <c r="G175" s="8">
        <v>12306</v>
      </c>
      <c r="H175" s="10">
        <v>0</v>
      </c>
      <c r="I175" s="8">
        <v>0</v>
      </c>
      <c r="J175" s="8">
        <v>36918</v>
      </c>
      <c r="K175" s="8">
        <v>21000</v>
      </c>
      <c r="L175" s="8">
        <v>15918</v>
      </c>
      <c r="M175" s="4">
        <v>45751</v>
      </c>
      <c r="N175" s="4">
        <v>45756</v>
      </c>
      <c r="O175" t="s">
        <v>299</v>
      </c>
      <c r="P175" t="s">
        <v>308</v>
      </c>
      <c r="Q175" s="2" t="s">
        <v>313</v>
      </c>
      <c r="R175" t="s">
        <v>318</v>
      </c>
      <c r="S175" t="s">
        <v>321</v>
      </c>
      <c r="T175" t="str">
        <f>TEXT(Table1[[#This Row],[Order_Date]],"ddd")</f>
        <v>Fri</v>
      </c>
      <c r="U175" t="str">
        <f>TEXT(Table1[[#This Row],[Order_Date]], "mmm")</f>
        <v>Apr</v>
      </c>
      <c r="V175">
        <f>YEAR(Table1[[#This Row],[Order_Date]])</f>
        <v>2025</v>
      </c>
    </row>
    <row r="176" spans="1:22" x14ac:dyDescent="0.35">
      <c r="A176">
        <v>10038</v>
      </c>
      <c r="B176" t="s">
        <v>188</v>
      </c>
      <c r="C176" t="s">
        <v>238</v>
      </c>
      <c r="D176" t="s">
        <v>291</v>
      </c>
      <c r="E176" t="s">
        <v>295</v>
      </c>
      <c r="F176" s="3">
        <v>3</v>
      </c>
      <c r="G176" s="8">
        <v>92247</v>
      </c>
      <c r="H176" s="10">
        <v>10</v>
      </c>
      <c r="I176" s="8">
        <v>27674</v>
      </c>
      <c r="J176" s="8">
        <v>249067</v>
      </c>
      <c r="K176" s="8">
        <v>195000</v>
      </c>
      <c r="L176" s="8">
        <v>81741</v>
      </c>
      <c r="M176" s="4">
        <v>45752</v>
      </c>
      <c r="N176" s="4">
        <v>45755</v>
      </c>
      <c r="O176" t="s">
        <v>299</v>
      </c>
      <c r="P176" t="s">
        <v>307</v>
      </c>
      <c r="Q176" s="2" t="s">
        <v>310</v>
      </c>
      <c r="R176" t="s">
        <v>317</v>
      </c>
      <c r="S176" t="s">
        <v>323</v>
      </c>
      <c r="T176" t="str">
        <f>TEXT(Table1[[#This Row],[Order_Date]],"ddd")</f>
        <v>Sat</v>
      </c>
      <c r="U176" t="str">
        <f>TEXT(Table1[[#This Row],[Order_Date]], "mmm")</f>
        <v>Apr</v>
      </c>
      <c r="V176">
        <f>YEAR(Table1[[#This Row],[Order_Date]])</f>
        <v>2025</v>
      </c>
    </row>
    <row r="177" spans="1:22" x14ac:dyDescent="0.35">
      <c r="A177">
        <v>10154</v>
      </c>
      <c r="B177" t="s">
        <v>189</v>
      </c>
      <c r="C177" t="s">
        <v>220</v>
      </c>
      <c r="D177" t="s">
        <v>293</v>
      </c>
      <c r="E177" t="s">
        <v>295</v>
      </c>
      <c r="F177" s="3">
        <v>3</v>
      </c>
      <c r="G177" s="8">
        <v>11550</v>
      </c>
      <c r="H177" s="10">
        <v>0</v>
      </c>
      <c r="I177" s="8">
        <v>0</v>
      </c>
      <c r="J177" s="8">
        <v>34650</v>
      </c>
      <c r="K177" s="8">
        <v>21000</v>
      </c>
      <c r="L177" s="8">
        <v>13650</v>
      </c>
      <c r="M177" s="4">
        <v>45754</v>
      </c>
      <c r="N177" s="4">
        <v>45759</v>
      </c>
      <c r="O177" t="s">
        <v>301</v>
      </c>
      <c r="P177" t="s">
        <v>307</v>
      </c>
      <c r="Q177" s="2" t="s">
        <v>314</v>
      </c>
      <c r="R177" t="s">
        <v>318</v>
      </c>
      <c r="S177" t="s">
        <v>322</v>
      </c>
      <c r="T177" t="str">
        <f>TEXT(Table1[[#This Row],[Order_Date]],"ddd")</f>
        <v>Mon</v>
      </c>
      <c r="U177" t="str">
        <f>TEXT(Table1[[#This Row],[Order_Date]], "mmm")</f>
        <v>Apr</v>
      </c>
      <c r="V177">
        <f>YEAR(Table1[[#This Row],[Order_Date]])</f>
        <v>2025</v>
      </c>
    </row>
    <row r="178" spans="1:22" x14ac:dyDescent="0.35">
      <c r="A178">
        <v>10031</v>
      </c>
      <c r="B178" t="s">
        <v>190</v>
      </c>
      <c r="C178" t="s">
        <v>268</v>
      </c>
      <c r="D178" t="s">
        <v>279</v>
      </c>
      <c r="E178" t="s">
        <v>297</v>
      </c>
      <c r="F178" s="3">
        <v>3</v>
      </c>
      <c r="G178" s="8">
        <v>87381</v>
      </c>
      <c r="H178" s="10">
        <v>5</v>
      </c>
      <c r="I178" s="8">
        <v>13107</v>
      </c>
      <c r="J178" s="8">
        <v>249036</v>
      </c>
      <c r="K178" s="8">
        <v>165000</v>
      </c>
      <c r="L178" s="8">
        <v>97143</v>
      </c>
      <c r="M178" s="4">
        <v>45755</v>
      </c>
      <c r="N178" s="4">
        <v>45757</v>
      </c>
      <c r="O178" t="s">
        <v>302</v>
      </c>
      <c r="P178" t="s">
        <v>309</v>
      </c>
      <c r="Q178" s="2" t="s">
        <v>314</v>
      </c>
      <c r="R178" t="s">
        <v>315</v>
      </c>
      <c r="S178" t="s">
        <v>321</v>
      </c>
      <c r="T178" t="str">
        <f>TEXT(Table1[[#This Row],[Order_Date]],"ddd")</f>
        <v>Tue</v>
      </c>
      <c r="U178" t="str">
        <f>TEXT(Table1[[#This Row],[Order_Date]], "mmm")</f>
        <v>Apr</v>
      </c>
      <c r="V178">
        <f>YEAR(Table1[[#This Row],[Order_Date]])</f>
        <v>2025</v>
      </c>
    </row>
    <row r="179" spans="1:22" x14ac:dyDescent="0.35">
      <c r="A179">
        <v>10036</v>
      </c>
      <c r="B179" t="s">
        <v>191</v>
      </c>
      <c r="C179" t="s">
        <v>267</v>
      </c>
      <c r="D179" t="s">
        <v>289</v>
      </c>
      <c r="E179" t="s">
        <v>296</v>
      </c>
      <c r="F179" s="3">
        <v>3</v>
      </c>
      <c r="G179" s="8">
        <v>14897</v>
      </c>
      <c r="H179" s="10">
        <v>0</v>
      </c>
      <c r="I179" s="8">
        <v>0</v>
      </c>
      <c r="J179" s="8">
        <v>44691</v>
      </c>
      <c r="K179" s="8">
        <v>24000</v>
      </c>
      <c r="L179" s="8">
        <v>20691</v>
      </c>
      <c r="M179" s="4">
        <v>45756</v>
      </c>
      <c r="N179" s="4">
        <v>45759</v>
      </c>
      <c r="O179" t="s">
        <v>305</v>
      </c>
      <c r="P179" t="s">
        <v>306</v>
      </c>
      <c r="Q179" s="2" t="s">
        <v>311</v>
      </c>
      <c r="R179" t="s">
        <v>316</v>
      </c>
      <c r="S179" t="s">
        <v>324</v>
      </c>
      <c r="T179" t="str">
        <f>TEXT(Table1[[#This Row],[Order_Date]],"ddd")</f>
        <v>Wed</v>
      </c>
      <c r="U179" t="str">
        <f>TEXT(Table1[[#This Row],[Order_Date]], "mmm")</f>
        <v>Apr</v>
      </c>
      <c r="V179">
        <f>YEAR(Table1[[#This Row],[Order_Date]])</f>
        <v>2025</v>
      </c>
    </row>
    <row r="180" spans="1:22" x14ac:dyDescent="0.35">
      <c r="A180">
        <v>10074</v>
      </c>
      <c r="B180" t="s">
        <v>192</v>
      </c>
      <c r="C180" t="s">
        <v>219</v>
      </c>
      <c r="D180" t="s">
        <v>290</v>
      </c>
      <c r="E180" t="s">
        <v>295</v>
      </c>
      <c r="F180" s="3">
        <v>3</v>
      </c>
      <c r="G180" s="8">
        <v>35429</v>
      </c>
      <c r="H180" s="10">
        <v>5</v>
      </c>
      <c r="I180" s="8">
        <v>5314</v>
      </c>
      <c r="J180" s="8">
        <v>100973</v>
      </c>
      <c r="K180" s="8">
        <v>66000</v>
      </c>
      <c r="L180" s="8">
        <v>40287</v>
      </c>
      <c r="M180" s="4">
        <v>45757</v>
      </c>
      <c r="N180" s="4">
        <v>45761</v>
      </c>
      <c r="O180" t="s">
        <v>300</v>
      </c>
      <c r="P180" t="s">
        <v>306</v>
      </c>
      <c r="Q180" s="2" t="s">
        <v>314</v>
      </c>
      <c r="R180" t="s">
        <v>316</v>
      </c>
      <c r="S180" t="s">
        <v>323</v>
      </c>
      <c r="T180" t="str">
        <f>TEXT(Table1[[#This Row],[Order_Date]],"ddd")</f>
        <v>Thu</v>
      </c>
      <c r="U180" t="str">
        <f>TEXT(Table1[[#This Row],[Order_Date]], "mmm")</f>
        <v>Apr</v>
      </c>
      <c r="V180">
        <f>YEAR(Table1[[#This Row],[Order_Date]])</f>
        <v>2025</v>
      </c>
    </row>
    <row r="181" spans="1:22" x14ac:dyDescent="0.35">
      <c r="A181">
        <v>10043</v>
      </c>
      <c r="B181" t="s">
        <v>193</v>
      </c>
      <c r="C181" t="s">
        <v>270</v>
      </c>
      <c r="D181" t="s">
        <v>283</v>
      </c>
      <c r="E181" t="s">
        <v>298</v>
      </c>
      <c r="F181" s="3">
        <v>4</v>
      </c>
      <c r="G181" s="8">
        <v>21470</v>
      </c>
      <c r="H181" s="10">
        <v>0</v>
      </c>
      <c r="I181" s="8">
        <v>0</v>
      </c>
      <c r="J181" s="8">
        <v>85880</v>
      </c>
      <c r="K181" s="8">
        <v>52000</v>
      </c>
      <c r="L181" s="8">
        <v>33880</v>
      </c>
      <c r="M181" s="4">
        <v>45760</v>
      </c>
      <c r="N181" s="4">
        <v>45763</v>
      </c>
      <c r="O181" t="s">
        <v>300</v>
      </c>
      <c r="P181" t="s">
        <v>307</v>
      </c>
      <c r="Q181" s="2" t="s">
        <v>310</v>
      </c>
      <c r="R181" t="s">
        <v>318</v>
      </c>
      <c r="S181" t="s">
        <v>320</v>
      </c>
      <c r="T181" t="str">
        <f>TEXT(Table1[[#This Row],[Order_Date]],"ddd")</f>
        <v>Sun</v>
      </c>
      <c r="U181" t="str">
        <f>TEXT(Table1[[#This Row],[Order_Date]], "mmm")</f>
        <v>Apr</v>
      </c>
      <c r="V181">
        <f>YEAR(Table1[[#This Row],[Order_Date]])</f>
        <v>2025</v>
      </c>
    </row>
    <row r="182" spans="1:22" x14ac:dyDescent="0.35">
      <c r="A182">
        <v>10139</v>
      </c>
      <c r="B182" t="s">
        <v>194</v>
      </c>
      <c r="C182" t="s">
        <v>260</v>
      </c>
      <c r="D182" t="s">
        <v>288</v>
      </c>
      <c r="E182" t="s">
        <v>297</v>
      </c>
      <c r="F182" s="3">
        <v>1</v>
      </c>
      <c r="G182" s="8">
        <v>118228</v>
      </c>
      <c r="H182" s="10">
        <v>0</v>
      </c>
      <c r="I182" s="8">
        <v>0</v>
      </c>
      <c r="J182" s="8">
        <v>118228</v>
      </c>
      <c r="K182" s="8">
        <v>80000</v>
      </c>
      <c r="L182" s="8">
        <v>38228</v>
      </c>
      <c r="M182" s="4">
        <v>45761</v>
      </c>
      <c r="N182" s="4">
        <v>45763</v>
      </c>
      <c r="O182" t="s">
        <v>300</v>
      </c>
      <c r="P182" t="s">
        <v>307</v>
      </c>
      <c r="Q182" s="2" t="s">
        <v>310</v>
      </c>
      <c r="R182" t="s">
        <v>317</v>
      </c>
      <c r="S182" t="s">
        <v>322</v>
      </c>
      <c r="T182" t="str">
        <f>TEXT(Table1[[#This Row],[Order_Date]],"ddd")</f>
        <v>Mon</v>
      </c>
      <c r="U182" t="str">
        <f>TEXT(Table1[[#This Row],[Order_Date]], "mmm")</f>
        <v>Apr</v>
      </c>
      <c r="V182">
        <f>YEAR(Table1[[#This Row],[Order_Date]])</f>
        <v>2025</v>
      </c>
    </row>
    <row r="183" spans="1:22" x14ac:dyDescent="0.35">
      <c r="A183">
        <v>10133</v>
      </c>
      <c r="B183" t="s">
        <v>195</v>
      </c>
      <c r="C183" t="s">
        <v>254</v>
      </c>
      <c r="D183" t="s">
        <v>282</v>
      </c>
      <c r="E183" t="s">
        <v>297</v>
      </c>
      <c r="F183" s="3">
        <v>2</v>
      </c>
      <c r="G183" s="8">
        <v>266789</v>
      </c>
      <c r="H183" s="10">
        <v>0</v>
      </c>
      <c r="I183" s="8">
        <v>0</v>
      </c>
      <c r="J183" s="8">
        <v>533578</v>
      </c>
      <c r="K183" s="8">
        <v>380000</v>
      </c>
      <c r="L183" s="8">
        <v>153578</v>
      </c>
      <c r="M183" s="4">
        <v>45763</v>
      </c>
      <c r="N183" s="4">
        <v>45766</v>
      </c>
      <c r="O183" t="s">
        <v>300</v>
      </c>
      <c r="P183" t="s">
        <v>308</v>
      </c>
      <c r="Q183" s="2" t="s">
        <v>314</v>
      </c>
      <c r="R183" t="s">
        <v>315</v>
      </c>
      <c r="S183" t="s">
        <v>320</v>
      </c>
      <c r="T183" t="str">
        <f>TEXT(Table1[[#This Row],[Order_Date]],"ddd")</f>
        <v>Wed</v>
      </c>
      <c r="U183" t="str">
        <f>TEXT(Table1[[#This Row],[Order_Date]], "mmm")</f>
        <v>Apr</v>
      </c>
      <c r="V183">
        <f>YEAR(Table1[[#This Row],[Order_Date]])</f>
        <v>2025</v>
      </c>
    </row>
    <row r="184" spans="1:22" x14ac:dyDescent="0.35">
      <c r="A184">
        <v>10141</v>
      </c>
      <c r="B184" t="s">
        <v>196</v>
      </c>
      <c r="C184" t="s">
        <v>239</v>
      </c>
      <c r="D184" t="s">
        <v>291</v>
      </c>
      <c r="E184" t="s">
        <v>295</v>
      </c>
      <c r="F184" s="3">
        <v>3</v>
      </c>
      <c r="G184" s="8">
        <v>98440</v>
      </c>
      <c r="H184" s="10">
        <v>0</v>
      </c>
      <c r="I184" s="8">
        <v>0</v>
      </c>
      <c r="J184" s="8">
        <v>295320</v>
      </c>
      <c r="K184" s="8">
        <v>195000</v>
      </c>
      <c r="L184" s="8">
        <v>100320</v>
      </c>
      <c r="M184" s="4">
        <v>45764</v>
      </c>
      <c r="N184" s="4">
        <v>45767</v>
      </c>
      <c r="O184" t="s">
        <v>303</v>
      </c>
      <c r="P184" t="s">
        <v>309</v>
      </c>
      <c r="Q184" s="2" t="s">
        <v>311</v>
      </c>
      <c r="R184" t="s">
        <v>316</v>
      </c>
      <c r="S184" t="s">
        <v>324</v>
      </c>
      <c r="T184" t="str">
        <f>TEXT(Table1[[#This Row],[Order_Date]],"ddd")</f>
        <v>Thu</v>
      </c>
      <c r="U184" t="str">
        <f>TEXT(Table1[[#This Row],[Order_Date]], "mmm")</f>
        <v>Apr</v>
      </c>
      <c r="V184">
        <f>YEAR(Table1[[#This Row],[Order_Date]])</f>
        <v>2025</v>
      </c>
    </row>
    <row r="185" spans="1:22" x14ac:dyDescent="0.35">
      <c r="A185">
        <v>10161</v>
      </c>
      <c r="B185" t="s">
        <v>197</v>
      </c>
      <c r="C185" t="s">
        <v>237</v>
      </c>
      <c r="D185" t="s">
        <v>275</v>
      </c>
      <c r="E185" t="s">
        <v>294</v>
      </c>
      <c r="F185" s="3">
        <v>1</v>
      </c>
      <c r="G185" s="8">
        <v>929229</v>
      </c>
      <c r="H185" s="10">
        <v>10</v>
      </c>
      <c r="I185" s="8">
        <v>92923</v>
      </c>
      <c r="J185" s="8">
        <v>836306</v>
      </c>
      <c r="K185" s="8">
        <v>750000</v>
      </c>
      <c r="L185" s="8">
        <v>179229</v>
      </c>
      <c r="M185" s="4">
        <v>45764</v>
      </c>
      <c r="N185" s="4">
        <v>45768</v>
      </c>
      <c r="O185" t="s">
        <v>303</v>
      </c>
      <c r="P185" t="s">
        <v>308</v>
      </c>
      <c r="Q185" s="2" t="s">
        <v>313</v>
      </c>
      <c r="R185" t="s">
        <v>318</v>
      </c>
      <c r="S185" t="s">
        <v>324</v>
      </c>
      <c r="T185" t="str">
        <f>TEXT(Table1[[#This Row],[Order_Date]],"ddd")</f>
        <v>Thu</v>
      </c>
      <c r="U185" t="str">
        <f>TEXT(Table1[[#This Row],[Order_Date]], "mmm")</f>
        <v>Apr</v>
      </c>
      <c r="V185">
        <f>YEAR(Table1[[#This Row],[Order_Date]])</f>
        <v>2025</v>
      </c>
    </row>
    <row r="186" spans="1:22" x14ac:dyDescent="0.35">
      <c r="A186">
        <v>10021</v>
      </c>
      <c r="B186" t="s">
        <v>198</v>
      </c>
      <c r="C186" t="s">
        <v>249</v>
      </c>
      <c r="D186" t="s">
        <v>291</v>
      </c>
      <c r="E186" t="s">
        <v>295</v>
      </c>
      <c r="F186" s="3">
        <v>4</v>
      </c>
      <c r="G186" s="8">
        <v>96868</v>
      </c>
      <c r="H186" s="10">
        <v>10</v>
      </c>
      <c r="I186" s="8">
        <v>38747</v>
      </c>
      <c r="J186" s="8">
        <v>348725</v>
      </c>
      <c r="K186" s="8">
        <v>260000</v>
      </c>
      <c r="L186" s="8">
        <v>127472</v>
      </c>
      <c r="M186" s="4">
        <v>45766</v>
      </c>
      <c r="N186" s="4">
        <v>45770</v>
      </c>
      <c r="O186" t="s">
        <v>302</v>
      </c>
      <c r="P186" t="s">
        <v>307</v>
      </c>
      <c r="Q186" s="2" t="s">
        <v>311</v>
      </c>
      <c r="R186" t="s">
        <v>315</v>
      </c>
      <c r="S186" t="s">
        <v>321</v>
      </c>
      <c r="T186" t="str">
        <f>TEXT(Table1[[#This Row],[Order_Date]],"ddd")</f>
        <v>Sat</v>
      </c>
      <c r="U186" t="str">
        <f>TEXT(Table1[[#This Row],[Order_Date]], "mmm")</f>
        <v>Apr</v>
      </c>
      <c r="V186">
        <f>YEAR(Table1[[#This Row],[Order_Date]])</f>
        <v>2025</v>
      </c>
    </row>
    <row r="187" spans="1:22" x14ac:dyDescent="0.35">
      <c r="A187">
        <v>10182</v>
      </c>
      <c r="B187" t="s">
        <v>199</v>
      </c>
      <c r="C187" t="s">
        <v>272</v>
      </c>
      <c r="D187" t="s">
        <v>292</v>
      </c>
      <c r="E187" t="s">
        <v>296</v>
      </c>
      <c r="F187" s="3">
        <v>3</v>
      </c>
      <c r="G187" s="8">
        <v>183470</v>
      </c>
      <c r="H187" s="10">
        <v>0</v>
      </c>
      <c r="I187" s="8">
        <v>0</v>
      </c>
      <c r="J187" s="8">
        <v>550410</v>
      </c>
      <c r="K187" s="8">
        <v>390000</v>
      </c>
      <c r="L187" s="8">
        <v>160410</v>
      </c>
      <c r="M187" s="4">
        <v>45767</v>
      </c>
      <c r="N187" s="4">
        <v>45768</v>
      </c>
      <c r="O187" t="s">
        <v>299</v>
      </c>
      <c r="P187" t="s">
        <v>309</v>
      </c>
      <c r="Q187" s="2" t="s">
        <v>314</v>
      </c>
      <c r="R187" t="s">
        <v>319</v>
      </c>
      <c r="S187" t="s">
        <v>323</v>
      </c>
      <c r="T187" t="str">
        <f>TEXT(Table1[[#This Row],[Order_Date]],"ddd")</f>
        <v>Sun</v>
      </c>
      <c r="U187" t="str">
        <f>TEXT(Table1[[#This Row],[Order_Date]], "mmm")</f>
        <v>Apr</v>
      </c>
      <c r="V187">
        <f>YEAR(Table1[[#This Row],[Order_Date]])</f>
        <v>2025</v>
      </c>
    </row>
    <row r="188" spans="1:22" x14ac:dyDescent="0.35">
      <c r="A188">
        <v>10037</v>
      </c>
      <c r="B188" t="s">
        <v>200</v>
      </c>
      <c r="C188" t="s">
        <v>228</v>
      </c>
      <c r="D188" t="s">
        <v>291</v>
      </c>
      <c r="E188" t="s">
        <v>295</v>
      </c>
      <c r="F188" s="3">
        <v>5</v>
      </c>
      <c r="G188" s="8">
        <v>91459</v>
      </c>
      <c r="H188" s="10">
        <v>5</v>
      </c>
      <c r="I188" s="8">
        <v>22865</v>
      </c>
      <c r="J188" s="8">
        <v>434430</v>
      </c>
      <c r="K188" s="8">
        <v>325000</v>
      </c>
      <c r="L188" s="8">
        <v>132295</v>
      </c>
      <c r="M188" s="4">
        <v>45767</v>
      </c>
      <c r="N188" s="4">
        <v>45771</v>
      </c>
      <c r="O188" t="s">
        <v>305</v>
      </c>
      <c r="P188" t="s">
        <v>306</v>
      </c>
      <c r="Q188" s="2" t="s">
        <v>312</v>
      </c>
      <c r="R188" t="s">
        <v>315</v>
      </c>
      <c r="S188" t="s">
        <v>324</v>
      </c>
      <c r="T188" t="str">
        <f>TEXT(Table1[[#This Row],[Order_Date]],"ddd")</f>
        <v>Sun</v>
      </c>
      <c r="U188" t="str">
        <f>TEXT(Table1[[#This Row],[Order_Date]], "mmm")</f>
        <v>Apr</v>
      </c>
      <c r="V188">
        <f>YEAR(Table1[[#This Row],[Order_Date]])</f>
        <v>2025</v>
      </c>
    </row>
    <row r="189" spans="1:22" x14ac:dyDescent="0.35">
      <c r="A189">
        <v>10047</v>
      </c>
      <c r="B189" t="s">
        <v>201</v>
      </c>
      <c r="C189" t="s">
        <v>242</v>
      </c>
      <c r="D189" t="s">
        <v>287</v>
      </c>
      <c r="E189" t="s">
        <v>298</v>
      </c>
      <c r="F189" s="3">
        <v>4</v>
      </c>
      <c r="G189" s="8">
        <v>23823</v>
      </c>
      <c r="H189" s="10">
        <v>0</v>
      </c>
      <c r="I189" s="8">
        <v>0</v>
      </c>
      <c r="J189" s="8">
        <v>95292</v>
      </c>
      <c r="K189" s="8">
        <v>60000</v>
      </c>
      <c r="L189" s="8">
        <v>35292</v>
      </c>
      <c r="M189" s="4">
        <v>45768</v>
      </c>
      <c r="N189" s="4">
        <v>45772</v>
      </c>
      <c r="O189" t="s">
        <v>305</v>
      </c>
      <c r="P189" t="s">
        <v>307</v>
      </c>
      <c r="Q189" s="2" t="s">
        <v>310</v>
      </c>
      <c r="R189" t="s">
        <v>315</v>
      </c>
      <c r="S189" t="s">
        <v>323</v>
      </c>
      <c r="T189" t="str">
        <f>TEXT(Table1[[#This Row],[Order_Date]],"ddd")</f>
        <v>Mon</v>
      </c>
      <c r="U189" t="str">
        <f>TEXT(Table1[[#This Row],[Order_Date]], "mmm")</f>
        <v>Apr</v>
      </c>
      <c r="V189">
        <f>YEAR(Table1[[#This Row],[Order_Date]])</f>
        <v>2025</v>
      </c>
    </row>
    <row r="190" spans="1:22" x14ac:dyDescent="0.35">
      <c r="A190">
        <v>10187</v>
      </c>
      <c r="B190" t="s">
        <v>202</v>
      </c>
      <c r="C190" t="s">
        <v>224</v>
      </c>
      <c r="D190" t="s">
        <v>281</v>
      </c>
      <c r="E190" t="s">
        <v>298</v>
      </c>
      <c r="F190" s="3">
        <v>5</v>
      </c>
      <c r="G190" s="8">
        <v>17204</v>
      </c>
      <c r="H190" s="10">
        <v>5</v>
      </c>
      <c r="I190" s="8">
        <v>4301</v>
      </c>
      <c r="J190" s="8">
        <v>81719</v>
      </c>
      <c r="K190" s="8">
        <v>50000</v>
      </c>
      <c r="L190" s="8">
        <v>36020</v>
      </c>
      <c r="M190" s="4">
        <v>45769</v>
      </c>
      <c r="N190" s="4">
        <v>45772</v>
      </c>
      <c r="O190" t="s">
        <v>305</v>
      </c>
      <c r="P190" t="s">
        <v>306</v>
      </c>
      <c r="Q190" s="2" t="s">
        <v>310</v>
      </c>
      <c r="R190" t="s">
        <v>316</v>
      </c>
      <c r="S190" t="s">
        <v>321</v>
      </c>
      <c r="T190" t="str">
        <f>TEXT(Table1[[#This Row],[Order_Date]],"ddd")</f>
        <v>Tue</v>
      </c>
      <c r="U190" t="str">
        <f>TEXT(Table1[[#This Row],[Order_Date]], "mmm")</f>
        <v>Apr</v>
      </c>
      <c r="V190">
        <f>YEAR(Table1[[#This Row],[Order_Date]])</f>
        <v>2025</v>
      </c>
    </row>
    <row r="191" spans="1:22" x14ac:dyDescent="0.35">
      <c r="A191">
        <v>10052</v>
      </c>
      <c r="B191" t="s">
        <v>203</v>
      </c>
      <c r="C191" t="s">
        <v>272</v>
      </c>
      <c r="D191" t="s">
        <v>286</v>
      </c>
      <c r="E191" t="s">
        <v>296</v>
      </c>
      <c r="F191" s="3">
        <v>1</v>
      </c>
      <c r="G191" s="8">
        <v>18772</v>
      </c>
      <c r="H191" s="10">
        <v>10</v>
      </c>
      <c r="I191" s="8">
        <v>1877</v>
      </c>
      <c r="J191" s="8">
        <v>16895</v>
      </c>
      <c r="K191" s="8">
        <v>10000</v>
      </c>
      <c r="L191" s="8">
        <v>8772</v>
      </c>
      <c r="M191" s="4">
        <v>45770</v>
      </c>
      <c r="N191" s="4">
        <v>45774</v>
      </c>
      <c r="O191" t="s">
        <v>299</v>
      </c>
      <c r="P191" t="s">
        <v>307</v>
      </c>
      <c r="Q191" s="2" t="s">
        <v>313</v>
      </c>
      <c r="R191" t="s">
        <v>315</v>
      </c>
      <c r="S191" t="s">
        <v>321</v>
      </c>
      <c r="T191" t="str">
        <f>TEXT(Table1[[#This Row],[Order_Date]],"ddd")</f>
        <v>Wed</v>
      </c>
      <c r="U191" t="str">
        <f>TEXT(Table1[[#This Row],[Order_Date]], "mmm")</f>
        <v>Apr</v>
      </c>
      <c r="V191">
        <f>YEAR(Table1[[#This Row],[Order_Date]])</f>
        <v>2025</v>
      </c>
    </row>
    <row r="192" spans="1:22" x14ac:dyDescent="0.35">
      <c r="A192">
        <v>10112</v>
      </c>
      <c r="B192" t="s">
        <v>204</v>
      </c>
      <c r="C192" t="s">
        <v>237</v>
      </c>
      <c r="D192" t="s">
        <v>279</v>
      </c>
      <c r="E192" t="s">
        <v>297</v>
      </c>
      <c r="F192" s="3">
        <v>3</v>
      </c>
      <c r="G192" s="8">
        <v>84404</v>
      </c>
      <c r="H192" s="10">
        <v>0</v>
      </c>
      <c r="I192" s="8">
        <v>0</v>
      </c>
      <c r="J192" s="8">
        <v>253212</v>
      </c>
      <c r="K192" s="8">
        <v>165000</v>
      </c>
      <c r="L192" s="8">
        <v>88212</v>
      </c>
      <c r="M192" s="4">
        <v>45770</v>
      </c>
      <c r="N192" s="4">
        <v>45775</v>
      </c>
      <c r="O192" t="s">
        <v>299</v>
      </c>
      <c r="P192" t="s">
        <v>308</v>
      </c>
      <c r="Q192" s="2" t="s">
        <v>311</v>
      </c>
      <c r="R192" t="s">
        <v>318</v>
      </c>
      <c r="S192" t="s">
        <v>322</v>
      </c>
      <c r="T192" t="str">
        <f>TEXT(Table1[[#This Row],[Order_Date]],"ddd")</f>
        <v>Wed</v>
      </c>
      <c r="U192" t="str">
        <f>TEXT(Table1[[#This Row],[Order_Date]], "mmm")</f>
        <v>Apr</v>
      </c>
      <c r="V192">
        <f>YEAR(Table1[[#This Row],[Order_Date]])</f>
        <v>2025</v>
      </c>
    </row>
    <row r="193" spans="1:22" x14ac:dyDescent="0.35">
      <c r="A193">
        <v>10145</v>
      </c>
      <c r="B193" t="s">
        <v>205</v>
      </c>
      <c r="C193" t="s">
        <v>218</v>
      </c>
      <c r="D193" t="s">
        <v>274</v>
      </c>
      <c r="E193" t="s">
        <v>294</v>
      </c>
      <c r="F193" s="3">
        <v>1</v>
      </c>
      <c r="G193" s="8">
        <v>139820</v>
      </c>
      <c r="H193" s="10">
        <v>10</v>
      </c>
      <c r="I193" s="8">
        <v>13982</v>
      </c>
      <c r="J193" s="8">
        <v>125838</v>
      </c>
      <c r="K193" s="8">
        <v>105000</v>
      </c>
      <c r="L193" s="8">
        <v>34820</v>
      </c>
      <c r="M193" s="4">
        <v>45770</v>
      </c>
      <c r="N193" s="4">
        <v>45774</v>
      </c>
      <c r="O193" t="s">
        <v>301</v>
      </c>
      <c r="P193" t="s">
        <v>307</v>
      </c>
      <c r="Q193" s="2" t="s">
        <v>313</v>
      </c>
      <c r="R193" t="s">
        <v>315</v>
      </c>
      <c r="S193" t="s">
        <v>320</v>
      </c>
      <c r="T193" t="str">
        <f>TEXT(Table1[[#This Row],[Order_Date]],"ddd")</f>
        <v>Wed</v>
      </c>
      <c r="U193" t="str">
        <f>TEXT(Table1[[#This Row],[Order_Date]], "mmm")</f>
        <v>Apr</v>
      </c>
      <c r="V193">
        <f>YEAR(Table1[[#This Row],[Order_Date]])</f>
        <v>2025</v>
      </c>
    </row>
    <row r="194" spans="1:22" x14ac:dyDescent="0.35">
      <c r="A194">
        <v>10163</v>
      </c>
      <c r="B194" t="s">
        <v>114</v>
      </c>
      <c r="C194" t="s">
        <v>254</v>
      </c>
      <c r="D194" t="s">
        <v>281</v>
      </c>
      <c r="E194" t="s">
        <v>298</v>
      </c>
      <c r="F194" s="3">
        <v>5</v>
      </c>
      <c r="G194" s="8">
        <v>17603</v>
      </c>
      <c r="H194" s="10">
        <v>10</v>
      </c>
      <c r="I194" s="8">
        <v>8802</v>
      </c>
      <c r="J194" s="8">
        <v>79213</v>
      </c>
      <c r="K194" s="8">
        <v>50000</v>
      </c>
      <c r="L194" s="8">
        <v>38015</v>
      </c>
      <c r="M194" s="4">
        <v>45771</v>
      </c>
      <c r="N194" s="4">
        <v>45776</v>
      </c>
      <c r="O194" t="s">
        <v>301</v>
      </c>
      <c r="P194" t="s">
        <v>309</v>
      </c>
      <c r="Q194" s="2" t="s">
        <v>313</v>
      </c>
      <c r="R194" t="s">
        <v>315</v>
      </c>
      <c r="S194" t="s">
        <v>320</v>
      </c>
      <c r="T194" t="str">
        <f>TEXT(Table1[[#This Row],[Order_Date]],"ddd")</f>
        <v>Thu</v>
      </c>
      <c r="U194" t="str">
        <f>TEXT(Table1[[#This Row],[Order_Date]], "mmm")</f>
        <v>Apr</v>
      </c>
      <c r="V194">
        <f>YEAR(Table1[[#This Row],[Order_Date]])</f>
        <v>2025</v>
      </c>
    </row>
    <row r="195" spans="1:22" x14ac:dyDescent="0.35">
      <c r="A195">
        <v>10010</v>
      </c>
      <c r="B195" t="s">
        <v>206</v>
      </c>
      <c r="C195" t="s">
        <v>254</v>
      </c>
      <c r="D195" t="s">
        <v>290</v>
      </c>
      <c r="E195" t="s">
        <v>295</v>
      </c>
      <c r="F195" s="3">
        <v>3</v>
      </c>
      <c r="G195" s="8">
        <v>36649</v>
      </c>
      <c r="H195" s="10">
        <v>0</v>
      </c>
      <c r="I195" s="8">
        <v>0</v>
      </c>
      <c r="J195" s="8">
        <v>109947</v>
      </c>
      <c r="K195" s="8">
        <v>66000</v>
      </c>
      <c r="L195" s="8">
        <v>43947</v>
      </c>
      <c r="M195" s="4">
        <v>45771</v>
      </c>
      <c r="N195" s="4">
        <v>45772</v>
      </c>
      <c r="O195" t="s">
        <v>305</v>
      </c>
      <c r="P195" t="s">
        <v>306</v>
      </c>
      <c r="Q195" s="2" t="s">
        <v>311</v>
      </c>
      <c r="R195" t="s">
        <v>318</v>
      </c>
      <c r="S195" t="s">
        <v>321</v>
      </c>
      <c r="T195" t="str">
        <f>TEXT(Table1[[#This Row],[Order_Date]],"ddd")</f>
        <v>Thu</v>
      </c>
      <c r="U195" t="str">
        <f>TEXT(Table1[[#This Row],[Order_Date]], "mmm")</f>
        <v>Apr</v>
      </c>
      <c r="V195">
        <f>YEAR(Table1[[#This Row],[Order_Date]])</f>
        <v>2025</v>
      </c>
    </row>
    <row r="196" spans="1:22" x14ac:dyDescent="0.35">
      <c r="A196">
        <v>10058</v>
      </c>
      <c r="B196" t="s">
        <v>207</v>
      </c>
      <c r="C196" t="s">
        <v>262</v>
      </c>
      <c r="D196" t="s">
        <v>278</v>
      </c>
      <c r="E196" t="s">
        <v>296</v>
      </c>
      <c r="F196" s="3">
        <v>4</v>
      </c>
      <c r="G196" s="8">
        <v>34960</v>
      </c>
      <c r="H196" s="10">
        <v>0</v>
      </c>
      <c r="I196" s="8">
        <v>0</v>
      </c>
      <c r="J196" s="8">
        <v>139840</v>
      </c>
      <c r="K196" s="8">
        <v>80000</v>
      </c>
      <c r="L196" s="8">
        <v>59840</v>
      </c>
      <c r="M196" s="4">
        <v>45773</v>
      </c>
      <c r="N196" s="4">
        <v>45777</v>
      </c>
      <c r="O196" t="s">
        <v>305</v>
      </c>
      <c r="P196" t="s">
        <v>308</v>
      </c>
      <c r="Q196" s="2" t="s">
        <v>310</v>
      </c>
      <c r="R196" t="s">
        <v>317</v>
      </c>
      <c r="S196" t="s">
        <v>321</v>
      </c>
      <c r="T196" t="str">
        <f>TEXT(Table1[[#This Row],[Order_Date]],"ddd")</f>
        <v>Sat</v>
      </c>
      <c r="U196" t="str">
        <f>TEXT(Table1[[#This Row],[Order_Date]], "mmm")</f>
        <v>Apr</v>
      </c>
      <c r="V196">
        <f>YEAR(Table1[[#This Row],[Order_Date]])</f>
        <v>2025</v>
      </c>
    </row>
    <row r="197" spans="1:22" x14ac:dyDescent="0.35">
      <c r="A197">
        <v>10128</v>
      </c>
      <c r="B197" t="s">
        <v>208</v>
      </c>
      <c r="C197" t="s">
        <v>273</v>
      </c>
      <c r="D197" t="s">
        <v>280</v>
      </c>
      <c r="E197" t="s">
        <v>296</v>
      </c>
      <c r="F197" s="3">
        <v>4</v>
      </c>
      <c r="G197" s="8">
        <v>11585</v>
      </c>
      <c r="H197" s="10">
        <v>0</v>
      </c>
      <c r="I197" s="8">
        <v>0</v>
      </c>
      <c r="J197" s="8">
        <v>46340</v>
      </c>
      <c r="K197" s="8">
        <v>26000</v>
      </c>
      <c r="L197" s="8">
        <v>20340</v>
      </c>
      <c r="M197" s="4">
        <v>45774</v>
      </c>
      <c r="N197" s="4">
        <v>45779</v>
      </c>
      <c r="O197" t="s">
        <v>300</v>
      </c>
      <c r="P197" t="s">
        <v>308</v>
      </c>
      <c r="Q197" s="2" t="s">
        <v>310</v>
      </c>
      <c r="R197" t="s">
        <v>315</v>
      </c>
      <c r="S197" t="s">
        <v>324</v>
      </c>
      <c r="T197" t="str">
        <f>TEXT(Table1[[#This Row],[Order_Date]],"ddd")</f>
        <v>Sun</v>
      </c>
      <c r="U197" t="str">
        <f>TEXT(Table1[[#This Row],[Order_Date]], "mmm")</f>
        <v>Apr</v>
      </c>
      <c r="V197">
        <f>YEAR(Table1[[#This Row],[Order_Date]])</f>
        <v>2025</v>
      </c>
    </row>
    <row r="198" spans="1:22" x14ac:dyDescent="0.35">
      <c r="A198">
        <v>10148</v>
      </c>
      <c r="B198" t="s">
        <v>209</v>
      </c>
      <c r="C198" t="s">
        <v>260</v>
      </c>
      <c r="D198" t="s">
        <v>281</v>
      </c>
      <c r="E198" t="s">
        <v>298</v>
      </c>
      <c r="F198" s="3">
        <v>2</v>
      </c>
      <c r="G198" s="8">
        <v>18893</v>
      </c>
      <c r="H198" s="10">
        <v>0</v>
      </c>
      <c r="I198" s="8">
        <v>0</v>
      </c>
      <c r="J198" s="8">
        <v>37786</v>
      </c>
      <c r="K198" s="8">
        <v>20000</v>
      </c>
      <c r="L198" s="8">
        <v>17786</v>
      </c>
      <c r="M198" s="4">
        <v>45774</v>
      </c>
      <c r="N198" s="4">
        <v>45778</v>
      </c>
      <c r="O198" t="s">
        <v>302</v>
      </c>
      <c r="P198" t="s">
        <v>308</v>
      </c>
      <c r="Q198" s="2" t="s">
        <v>314</v>
      </c>
      <c r="R198" t="s">
        <v>316</v>
      </c>
      <c r="S198" t="s">
        <v>324</v>
      </c>
      <c r="T198" t="str">
        <f>TEXT(Table1[[#This Row],[Order_Date]],"ddd")</f>
        <v>Sun</v>
      </c>
      <c r="U198" t="str">
        <f>TEXT(Table1[[#This Row],[Order_Date]], "mmm")</f>
        <v>Apr</v>
      </c>
      <c r="V198">
        <f>YEAR(Table1[[#This Row],[Order_Date]])</f>
        <v>2025</v>
      </c>
    </row>
    <row r="199" spans="1:22" x14ac:dyDescent="0.35">
      <c r="A199">
        <v>10142</v>
      </c>
      <c r="B199" t="s">
        <v>210</v>
      </c>
      <c r="C199" t="s">
        <v>221</v>
      </c>
      <c r="D199" t="s">
        <v>285</v>
      </c>
      <c r="E199" t="s">
        <v>297</v>
      </c>
      <c r="F199" s="3">
        <v>3</v>
      </c>
      <c r="G199" s="8">
        <v>204238</v>
      </c>
      <c r="H199" s="10">
        <v>5</v>
      </c>
      <c r="I199" s="8">
        <v>30636</v>
      </c>
      <c r="J199" s="8">
        <v>582078</v>
      </c>
      <c r="K199" s="8">
        <v>390000</v>
      </c>
      <c r="L199" s="8">
        <v>222714</v>
      </c>
      <c r="M199" s="4">
        <v>45774</v>
      </c>
      <c r="N199" s="4">
        <v>45778</v>
      </c>
      <c r="O199" t="s">
        <v>303</v>
      </c>
      <c r="P199" t="s">
        <v>308</v>
      </c>
      <c r="Q199" s="2" t="s">
        <v>311</v>
      </c>
      <c r="R199" t="s">
        <v>318</v>
      </c>
      <c r="S199" t="s">
        <v>324</v>
      </c>
      <c r="T199" t="str">
        <f>TEXT(Table1[[#This Row],[Order_Date]],"ddd")</f>
        <v>Sun</v>
      </c>
      <c r="U199" t="str">
        <f>TEXT(Table1[[#This Row],[Order_Date]], "mmm")</f>
        <v>Apr</v>
      </c>
      <c r="V199">
        <f>YEAR(Table1[[#This Row],[Order_Date]])</f>
        <v>2025</v>
      </c>
    </row>
    <row r="200" spans="1:22" x14ac:dyDescent="0.35">
      <c r="A200">
        <v>10188</v>
      </c>
      <c r="B200" t="s">
        <v>211</v>
      </c>
      <c r="C200" t="s">
        <v>221</v>
      </c>
      <c r="D200" t="s">
        <v>286</v>
      </c>
      <c r="E200" t="s">
        <v>296</v>
      </c>
      <c r="F200" s="3">
        <v>1</v>
      </c>
      <c r="G200" s="8">
        <v>17182</v>
      </c>
      <c r="H200" s="10">
        <v>0</v>
      </c>
      <c r="I200" s="8">
        <v>0</v>
      </c>
      <c r="J200" s="8">
        <v>17182</v>
      </c>
      <c r="K200" s="8">
        <v>10000</v>
      </c>
      <c r="L200" s="8">
        <v>7182</v>
      </c>
      <c r="M200" s="4">
        <v>45776</v>
      </c>
      <c r="N200" s="4">
        <v>45777</v>
      </c>
      <c r="O200" t="s">
        <v>304</v>
      </c>
      <c r="P200" t="s">
        <v>309</v>
      </c>
      <c r="Q200" s="2" t="s">
        <v>313</v>
      </c>
      <c r="R200" t="s">
        <v>316</v>
      </c>
      <c r="S200" t="s">
        <v>321</v>
      </c>
      <c r="T200" t="str">
        <f>TEXT(Table1[[#This Row],[Order_Date]],"ddd")</f>
        <v>Tue</v>
      </c>
      <c r="U200" t="str">
        <f>TEXT(Table1[[#This Row],[Order_Date]], "mmm")</f>
        <v>Apr</v>
      </c>
      <c r="V200">
        <f>YEAR(Table1[[#This Row],[Order_Date]])</f>
        <v>2025</v>
      </c>
    </row>
    <row r="201" spans="1:22" x14ac:dyDescent="0.35">
      <c r="A201">
        <v>10069</v>
      </c>
      <c r="B201" t="s">
        <v>212</v>
      </c>
      <c r="C201" t="s">
        <v>221</v>
      </c>
      <c r="D201" t="s">
        <v>281</v>
      </c>
      <c r="E201" t="s">
        <v>298</v>
      </c>
      <c r="F201" s="3">
        <v>1</v>
      </c>
      <c r="G201" s="8">
        <v>17944</v>
      </c>
      <c r="H201" s="10">
        <v>0</v>
      </c>
      <c r="I201" s="8">
        <v>0</v>
      </c>
      <c r="J201" s="8">
        <v>17944</v>
      </c>
      <c r="K201" s="8">
        <v>10000</v>
      </c>
      <c r="L201" s="8">
        <v>7944</v>
      </c>
      <c r="M201" s="4">
        <v>45776</v>
      </c>
      <c r="N201" s="4">
        <v>45780</v>
      </c>
      <c r="O201" t="s">
        <v>303</v>
      </c>
      <c r="P201" t="s">
        <v>309</v>
      </c>
      <c r="Q201" s="2" t="s">
        <v>312</v>
      </c>
      <c r="R201" t="s">
        <v>318</v>
      </c>
      <c r="S201" t="s">
        <v>324</v>
      </c>
      <c r="T201" t="str">
        <f>TEXT(Table1[[#This Row],[Order_Date]],"ddd")</f>
        <v>Tue</v>
      </c>
      <c r="U201" t="str">
        <f>TEXT(Table1[[#This Row],[Order_Date]], "mmm")</f>
        <v>Apr</v>
      </c>
      <c r="V201">
        <f>YEAR(Table1[[#This Row],[Order_Date]])</f>
        <v>2025</v>
      </c>
    </row>
    <row r="202" spans="1:22" x14ac:dyDescent="0.35">
      <c r="A202">
        <v>10051</v>
      </c>
      <c r="B202" t="s">
        <v>213</v>
      </c>
      <c r="C202" t="s">
        <v>225</v>
      </c>
      <c r="D202" t="s">
        <v>279</v>
      </c>
      <c r="E202" t="s">
        <v>297</v>
      </c>
      <c r="F202" s="3">
        <v>5</v>
      </c>
      <c r="G202" s="8">
        <v>88806</v>
      </c>
      <c r="H202" s="10">
        <v>5</v>
      </c>
      <c r="I202" s="8">
        <v>22202</v>
      </c>
      <c r="J202" s="8">
        <v>421828</v>
      </c>
      <c r="K202" s="8">
        <v>275000</v>
      </c>
      <c r="L202" s="8">
        <v>169030</v>
      </c>
      <c r="M202" s="4">
        <v>45776</v>
      </c>
      <c r="N202" s="4">
        <v>45779</v>
      </c>
      <c r="O202" t="s">
        <v>300</v>
      </c>
      <c r="P202" t="s">
        <v>308</v>
      </c>
      <c r="Q202" s="2" t="s">
        <v>314</v>
      </c>
      <c r="R202" t="s">
        <v>319</v>
      </c>
      <c r="S202" t="s">
        <v>322</v>
      </c>
      <c r="T202" t="str">
        <f>TEXT(Table1[[#This Row],[Order_Date]],"ddd")</f>
        <v>Tue</v>
      </c>
      <c r="U202" t="str">
        <f>TEXT(Table1[[#This Row],[Order_Date]], "mmm")</f>
        <v>Apr</v>
      </c>
      <c r="V202">
        <f>YEAR(Table1[[#This Row],[Order_Date]])</f>
        <v>2025</v>
      </c>
    </row>
    <row r="203" spans="1:22" x14ac:dyDescent="0.35">
      <c r="A203">
        <v>10029</v>
      </c>
      <c r="B203" t="s">
        <v>214</v>
      </c>
      <c r="C203" t="s">
        <v>260</v>
      </c>
      <c r="D203" t="s">
        <v>292</v>
      </c>
      <c r="E203" t="s">
        <v>296</v>
      </c>
      <c r="F203" s="3">
        <v>2</v>
      </c>
      <c r="G203" s="8">
        <v>184342</v>
      </c>
      <c r="H203" s="10">
        <v>10</v>
      </c>
      <c r="I203" s="8">
        <v>36868</v>
      </c>
      <c r="J203" s="8">
        <v>331816</v>
      </c>
      <c r="K203" s="8">
        <v>260000</v>
      </c>
      <c r="L203" s="8">
        <v>108684</v>
      </c>
      <c r="M203" s="4">
        <v>45777</v>
      </c>
      <c r="N203" s="4">
        <v>45781</v>
      </c>
      <c r="O203" t="s">
        <v>304</v>
      </c>
      <c r="P203" t="s">
        <v>308</v>
      </c>
      <c r="Q203" s="2" t="s">
        <v>313</v>
      </c>
      <c r="R203" t="s">
        <v>316</v>
      </c>
      <c r="S203" t="s">
        <v>322</v>
      </c>
      <c r="T203" t="str">
        <f>TEXT(Table1[[#This Row],[Order_Date]],"ddd")</f>
        <v>Wed</v>
      </c>
      <c r="U203" t="str">
        <f>TEXT(Table1[[#This Row],[Order_Date]], "mmm")</f>
        <v>Apr</v>
      </c>
      <c r="V203">
        <f>YEAR(Table1[[#This Row],[Order_Date]])</f>
        <v>2025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okafor chinyere matthew</cp:lastModifiedBy>
  <dcterms:created xsi:type="dcterms:W3CDTF">2026-09-04T08:26:35Z</dcterms:created>
  <dcterms:modified xsi:type="dcterms:W3CDTF">2026-09-21T18:00:44Z</dcterms:modified>
</cp:coreProperties>
</file>